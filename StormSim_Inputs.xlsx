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CB8203B9-3411-459A-8269-E41770067C8E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<sst xmlns="http://schemas.openxmlformats.org/spreadsheetml/2006/main" count="500" uniqueCount="178">
  <si>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</si>
  <si>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</si>
  <si>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</si>
  <si>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</si>
  <si>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</si>
  <si>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</si>
  <si>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</si>
  <si>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</si>
  <si>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</si>
  <si>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</si>
  <si>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</si>
  <si>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Midbay_v1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</si>
  <si>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</si>
  <si>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</si>
  <si>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</si>
  <si>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</si>
  <si>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</si>
  <si>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</si>
  <si>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</si>
  <si>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</si>
  <si>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</si>
  <si>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</si>
  <si>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</si>
  <si>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</si>
  <si>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</si>
  <si>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</si>
  <si>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</si>
  <si>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</si>
  <si>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</si>
  <si>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</si>
  <si>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</si>
  <si>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</si>
  <si>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</si>
  <si>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</si>
  <si>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</si>
  <si>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</si>
  <si>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</si>
  <si>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</si>
  <si>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</si>
  <si>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</si>
  <si>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</si>
  <si>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</si>
  <si>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</si>
  <si>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</si>
  <si>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</si>
  <si>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</si>
  <si>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</si>
  <si>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</si>
  <si>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</si>
  <si>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</si>
  <si>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</si>
  <si>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</si>
  <si>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</si>
  <si>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</si>
  <si>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</si>
  <si>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</si>
  <si>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</si>
  <si>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</si>
  <si>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</si>
  <si>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</si>
  <si>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</si>
  <si>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</si>
  <si>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</si>
  <si>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</si>
  <si>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</si>
  <si>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</si>
  <si>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</si>
  <si>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</si>
  <si>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</si>
  <si>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</si>
  <si>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</si>
  <si>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</si>
  <si>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</si>
  <si>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</si>
  <si>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</si>
  <si>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</si>
  <si>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</si>
  <si>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</si>
  <si>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</si>
  <si>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</si>
  <si>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</si>
  <si>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</si>
  <si>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</si>
  <si>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</si>
  <si>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</si>
  <si>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</si>
  <si>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</si>
  <si>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</si>
  <si>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</si>
  <si>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</si>
  <si>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</si>
  <si>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</si>
  <si>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</si>
  <si>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</si>
  <si>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</si>
  <si>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</si>
  <si>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</si>
  <si>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</si>
  <si>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</si>
  <si>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</si>
  <si>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</si>
  <si>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</si>
  <si>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</si>
  <si>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</si>
  <si>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</si>
  <si>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</si>
  <si>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</si>
  <si>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</si>
  <si>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</si>
  <si>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</si>
  <si>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</si>
  <si>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</si>
  <si>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</si>
  <si>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</si>
  <si>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</si>
  <si>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</si>
  <si>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</si>
  <si>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</si>
  <si>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</si>
  <si>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</si>
  <si>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</si>
  <si>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</si>
  <si>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</si>
  <si>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</si>
  <si>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</si>
  <si>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</si>
  <si>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</si>
  <si>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</si>
  <si>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</si>
  <si>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</si>
  <si>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</si>
  <si>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</si>
  <si>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</si>
  <si>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</si>
  <si>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</si>
  <si>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</si>
  <si>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</si>
  <si>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</si>
  <si>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</si>
  <si>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</si>
  <si>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</si>
  <si>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</si>
  <si>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</si>
  <si>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</si>
  <si>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</si>
  <si>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</si>
  <si>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</si>
  <si>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</si>
  <si>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</si>
  <si>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</si>
  <si>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</si>
  <si>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</si>
  <si>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</si>
  <si>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</si>
  <si>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</si>
  <si>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</si>
  <si>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</si>
  <si>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</si>
  <si>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</si>
  <si>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</si>
  <si>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</si>
  <si>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</si>
  <si>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</si>
  <si>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</si>
  <si>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</si>
  <si>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</si>
  <si>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</si>
  <si>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</si>
  <si>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</si>
  <si>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</si>
  <si>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</si>
  <si>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</si>
  <si>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</si>
  <si>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</si>
  <si>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</si>
  <si>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</si>
  <si>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</si>
  <si>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PROS-Uncert-Outside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</si>
</sst>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zoomScale="80" zoomScaleNormal="80" workbookViewId="0">
      <selection activeCell="D5" sqref="D5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11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176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174</v>
      </c>
      <c r="B5" s="15" t="s">
        <v>175</v>
      </c>
      <c r="C5" s="16" t="s">
        <v>10</v>
      </c>
      <c r="D5" s="2" t="s">
        <v>177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>
        <v>3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22</v>
      </c>
      <c r="B7" s="15" t="s">
        <v>23</v>
      </c>
      <c r="C7" s="16" t="s">
        <v>10</v>
      </c>
      <c r="D7" s="2" t="s">
        <v>148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26</v>
      </c>
      <c r="B8" s="15" t="s">
        <v>27</v>
      </c>
      <c r="C8" s="16" t="s">
        <v>10</v>
      </c>
      <c r="D8" s="2" t="s">
        <v>109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30</v>
      </c>
      <c r="B9" s="15" t="s">
        <v>31</v>
      </c>
      <c r="C9" s="16" t="s">
        <v>10</v>
      </c>
      <c r="D9" s="2">
        <v>0</v>
      </c>
      <c r="F9" s="33"/>
      <c r="G9" s="33"/>
      <c r="H9" s="33"/>
      <c r="I9" s="33"/>
    </row>
    <row r="10" spans="1:9" ht="15.75" thickBot="1" x14ac:dyDescent="0.3">
      <c r="A10" s="14" t="s">
        <v>145</v>
      </c>
      <c r="B10" s="15" t="s">
        <v>146</v>
      </c>
      <c r="C10" s="16" t="s">
        <v>10</v>
      </c>
      <c r="D10" s="2" t="s">
        <v>168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139</v>
      </c>
      <c r="B11" s="15" t="s">
        <v>113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112</v>
      </c>
      <c r="B12" s="15" t="s">
        <v>144</v>
      </c>
      <c r="C12" s="16" t="s">
        <v>10</v>
      </c>
      <c r="D12" s="2">
        <v>1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ht="15.75" thickBot="1" x14ac:dyDescent="0.3">
      <c r="A13" s="17" t="s">
        <v>35</v>
      </c>
      <c r="B13" s="18" t="s">
        <v>36</v>
      </c>
      <c r="C13" s="19" t="s">
        <v>10</v>
      </c>
      <c r="D13" s="3" t="s">
        <v>167</v>
      </c>
      <c r="F13" s="30" t="s">
        <v>141</v>
      </c>
      <c r="G13" s="15" t="s">
        <v>65</v>
      </c>
      <c r="H13" s="31" t="s">
        <v>66</v>
      </c>
      <c r="I13" s="2">
        <v>0.43</v>
      </c>
    </row>
    <row r="14" spans="1:9" x14ac:dyDescent="0.25">
      <c r="A14" s="6"/>
      <c r="B14" s="22"/>
      <c r="C14" s="23"/>
      <c r="D14" s="23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24" t="s">
        <v>42</v>
      </c>
      <c r="B15" s="25"/>
      <c r="C15" s="25"/>
      <c r="D15" s="25"/>
      <c r="F15" s="17" t="s">
        <v>117</v>
      </c>
      <c r="G15" s="18" t="s">
        <v>62</v>
      </c>
      <c r="H15" s="19" t="s">
        <v>41</v>
      </c>
      <c r="I15" s="3">
        <v>0.13</v>
      </c>
    </row>
    <row r="16" spans="1:9" ht="15.75" thickBot="1" x14ac:dyDescent="0.3">
      <c r="A16" s="9" t="s">
        <v>3</v>
      </c>
      <c r="B16" s="10" t="s">
        <v>4</v>
      </c>
      <c r="C16" s="10" t="s">
        <v>5</v>
      </c>
      <c r="D16" s="10" t="s">
        <v>6</v>
      </c>
      <c r="F16" s="27"/>
      <c r="G16" s="27"/>
      <c r="H16" s="27"/>
      <c r="I16" s="27"/>
    </row>
    <row r="17" spans="1:9" ht="15.75" thickBot="1" x14ac:dyDescent="0.3">
      <c r="A17" s="14" t="s">
        <v>110</v>
      </c>
      <c r="B17" s="15" t="s">
        <v>111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45</v>
      </c>
      <c r="B18" s="12" t="s">
        <v>46</v>
      </c>
      <c r="C18" s="28" t="s">
        <v>47</v>
      </c>
      <c r="D18" s="1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165</v>
      </c>
      <c r="B19" s="12" t="s">
        <v>166</v>
      </c>
      <c r="C19" s="28" t="s">
        <v>162</v>
      </c>
      <c r="D19" s="1">
        <v>5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1" t="s">
        <v>143</v>
      </c>
      <c r="B20" s="12" t="s">
        <v>142</v>
      </c>
      <c r="C20" s="28" t="s">
        <v>10</v>
      </c>
      <c r="D20" s="2" t="s">
        <v>147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49</v>
      </c>
      <c r="B21" s="15" t="s">
        <v>50</v>
      </c>
      <c r="C21" s="16" t="s">
        <v>10</v>
      </c>
      <c r="D21" s="2" t="s">
        <v>169</v>
      </c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53</v>
      </c>
      <c r="B22" s="15" t="s">
        <v>54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56</v>
      </c>
      <c r="B23" s="15" t="s">
        <v>57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60</v>
      </c>
      <c r="B24" s="15" t="s">
        <v>61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63</v>
      </c>
      <c r="B25" s="15" t="s">
        <v>64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67</v>
      </c>
      <c r="B26" s="15" t="s">
        <v>68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69</v>
      </c>
      <c r="B27" s="15" t="s">
        <v>70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x14ac:dyDescent="0.25">
      <c r="A28" s="14" t="s">
        <v>71</v>
      </c>
      <c r="B28" s="15" t="s">
        <v>72</v>
      </c>
      <c r="C28" s="16" t="s">
        <v>10</v>
      </c>
      <c r="D28" s="2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17" t="s">
        <v>73</v>
      </c>
      <c r="B29" s="18" t="s">
        <v>74</v>
      </c>
      <c r="C29" s="19" t="s">
        <v>10</v>
      </c>
      <c r="D29" s="3"/>
      <c r="F29" s="17" t="s">
        <v>43</v>
      </c>
      <c r="G29" s="18" t="s">
        <v>44</v>
      </c>
      <c r="H29" s="19" t="s">
        <v>41</v>
      </c>
      <c r="I29" s="3">
        <v>1</v>
      </c>
    </row>
    <row r="30" spans="1:9" x14ac:dyDescent="0.25">
      <c r="A30" s="25"/>
      <c r="B30" s="25"/>
      <c r="C30" s="25"/>
      <c r="D30" s="25"/>
      <c r="F30" s="21"/>
      <c r="G30" s="21"/>
      <c r="H30" s="21"/>
      <c r="I30" s="21"/>
    </row>
    <row r="31" spans="1:9" ht="15.75" thickBot="1" x14ac:dyDescent="0.3">
      <c r="A31" s="34" t="s">
        <v>77</v>
      </c>
      <c r="B31" s="35"/>
      <c r="C31" s="35"/>
      <c r="D31" s="35"/>
      <c r="F31" s="26" t="s">
        <v>48</v>
      </c>
      <c r="G31" s="27"/>
      <c r="H31" s="27"/>
      <c r="I31" s="27"/>
    </row>
    <row r="32" spans="1:9" ht="15.75" thickBot="1" x14ac:dyDescent="0.3">
      <c r="A32" s="9" t="s">
        <v>3</v>
      </c>
      <c r="B32" s="10" t="s">
        <v>7</v>
      </c>
      <c r="C32" s="10" t="s">
        <v>5</v>
      </c>
      <c r="D32" s="10" t="s">
        <v>78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1" t="s">
        <v>79</v>
      </c>
      <c r="B33" s="12" t="s">
        <v>114</v>
      </c>
      <c r="C33" s="13" t="s">
        <v>10</v>
      </c>
      <c r="D33" s="1">
        <v>1.2320122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115</v>
      </c>
      <c r="C34" s="16" t="s">
        <v>10</v>
      </c>
      <c r="D34" s="2">
        <v>1.5243902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81</v>
      </c>
      <c r="B35" s="15" t="s">
        <v>82</v>
      </c>
      <c r="C35" s="16" t="s">
        <v>41</v>
      </c>
      <c r="D35" s="2">
        <v>-1.5969511999999999</v>
      </c>
    </row>
    <row r="36" spans="1:9" x14ac:dyDescent="0.25">
      <c r="A36" s="14" t="s">
        <v>83</v>
      </c>
      <c r="B36" s="15" t="s">
        <v>84</v>
      </c>
      <c r="C36" s="16" t="s">
        <v>10</v>
      </c>
      <c r="D36" s="2">
        <v>1.5</v>
      </c>
    </row>
    <row r="37" spans="1:9" x14ac:dyDescent="0.25">
      <c r="A37" s="14" t="s">
        <v>85</v>
      </c>
      <c r="B37" s="15" t="s">
        <v>86</v>
      </c>
      <c r="C37" s="16" t="s">
        <v>10</v>
      </c>
      <c r="D37" s="2">
        <v>1.5</v>
      </c>
    </row>
    <row r="38" spans="1:9" x14ac:dyDescent="0.25">
      <c r="A38" s="39" t="s">
        <v>119</v>
      </c>
      <c r="B38" s="39" t="s">
        <v>120</v>
      </c>
      <c r="C38" s="45" t="s">
        <v>10</v>
      </c>
      <c r="D38" s="46">
        <v>0</v>
      </c>
    </row>
    <row r="39" spans="1:9" x14ac:dyDescent="0.25">
      <c r="A39" s="14" t="s">
        <v>121</v>
      </c>
      <c r="B39" s="14" t="s">
        <v>123</v>
      </c>
      <c r="C39" s="16" t="s">
        <v>10</v>
      </c>
      <c r="D39" s="2">
        <v>0</v>
      </c>
    </row>
    <row r="40" spans="1:9" ht="15.75" thickBot="1" x14ac:dyDescent="0.3">
      <c r="A40" s="38" t="s">
        <v>122</v>
      </c>
      <c r="B40" s="38" t="s">
        <v>124</v>
      </c>
      <c r="C40" s="43" t="s">
        <v>10</v>
      </c>
      <c r="D40" s="44">
        <v>0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87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78</v>
      </c>
    </row>
    <row r="44" spans="1:9" x14ac:dyDescent="0.25">
      <c r="A44" s="11" t="s">
        <v>88</v>
      </c>
      <c r="B44" s="12" t="s">
        <v>89</v>
      </c>
      <c r="C44" s="13" t="s">
        <v>10</v>
      </c>
      <c r="D44" s="1">
        <v>1.65</v>
      </c>
    </row>
    <row r="45" spans="1:9" x14ac:dyDescent="0.25">
      <c r="A45" s="14" t="s">
        <v>90</v>
      </c>
      <c r="B45" s="15" t="s">
        <v>91</v>
      </c>
      <c r="C45" s="16" t="s">
        <v>92</v>
      </c>
      <c r="D45" s="2">
        <v>500</v>
      </c>
    </row>
    <row r="46" spans="1:9" x14ac:dyDescent="0.25">
      <c r="A46" s="14" t="s">
        <v>93</v>
      </c>
      <c r="B46" s="15" t="s">
        <v>94</v>
      </c>
      <c r="C46" s="16" t="s">
        <v>92</v>
      </c>
      <c r="D46" s="2">
        <v>500</v>
      </c>
    </row>
    <row r="47" spans="1:9" x14ac:dyDescent="0.25">
      <c r="A47" s="14" t="s">
        <v>95</v>
      </c>
      <c r="B47" s="15" t="s">
        <v>96</v>
      </c>
      <c r="C47" s="16" t="s">
        <v>97</v>
      </c>
      <c r="D47" s="2">
        <v>1027</v>
      </c>
    </row>
    <row r="48" spans="1:9" x14ac:dyDescent="0.25">
      <c r="A48" s="14" t="s">
        <v>98</v>
      </c>
      <c r="B48" s="15" t="s">
        <v>99</v>
      </c>
      <c r="C48" s="16" t="s">
        <v>100</v>
      </c>
      <c r="D48" s="2">
        <v>0.4</v>
      </c>
    </row>
    <row r="49" spans="1:4" x14ac:dyDescent="0.25">
      <c r="A49" s="14" t="s">
        <v>101</v>
      </c>
      <c r="B49" s="15" t="s">
        <v>102</v>
      </c>
      <c r="C49" s="16" t="s">
        <v>10</v>
      </c>
      <c r="D49" s="2">
        <v>20</v>
      </c>
    </row>
    <row r="50" spans="1:4" x14ac:dyDescent="0.25">
      <c r="A50" s="14" t="s">
        <v>103</v>
      </c>
      <c r="B50" s="15" t="s">
        <v>104</v>
      </c>
      <c r="C50" s="16" t="s">
        <v>10</v>
      </c>
      <c r="D50" s="2">
        <v>20</v>
      </c>
    </row>
    <row r="51" spans="1:4" x14ac:dyDescent="0.25">
      <c r="A51" s="14" t="s">
        <v>105</v>
      </c>
      <c r="B51" s="15" t="s">
        <v>106</v>
      </c>
      <c r="C51" s="16" t="s">
        <v>10</v>
      </c>
      <c r="D51" s="2">
        <v>2</v>
      </c>
    </row>
    <row r="52" spans="1:4" x14ac:dyDescent="0.25">
      <c r="A52" s="39" t="s">
        <v>107</v>
      </c>
      <c r="B52" s="40" t="s">
        <v>108</v>
      </c>
      <c r="C52" s="41" t="s">
        <v>10</v>
      </c>
      <c r="D52" s="42">
        <v>2</v>
      </c>
    </row>
    <row r="53" spans="1:4" ht="30.75" thickBot="1" x14ac:dyDescent="0.3">
      <c r="A53" s="18" t="s">
        <v>118</v>
      </c>
      <c r="B53" s="48" t="s">
        <v>125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7" spans="2:2" x14ac:dyDescent="0.25">
      <c r="B67" s="47"/>
    </row>
  </sheetData>
  <sheetProtection formatColumns="0" selectLockedCells="1"/>
  <protectedRanges>
    <protectedRange sqref="I3:I6 I8 D17:D29 I12:I16 I26:I29 I19:I22 I33 D3:D12" name="Range1_1"/>
    <protectedRange sqref="D13" name="Range1_1_1"/>
    <protectedRange sqref="D33:D37" name="Range1_1_3"/>
    <protectedRange sqref="D44:D53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75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172</v>
      </c>
      <c r="F3" s="49" t="s">
        <v>133</v>
      </c>
      <c r="G3" s="49" t="s">
        <v>126</v>
      </c>
      <c r="H3" s="13" t="s">
        <v>41</v>
      </c>
      <c r="I3" s="13">
        <v>0.33979999999999999</v>
      </c>
    </row>
    <row r="4" spans="1:9" x14ac:dyDescent="0.25">
      <c r="A4" s="14" t="s">
        <v>14</v>
      </c>
      <c r="B4" s="15" t="s">
        <v>15</v>
      </c>
      <c r="C4" s="16" t="s">
        <v>10</v>
      </c>
      <c r="D4" s="2" t="s">
        <v>16</v>
      </c>
      <c r="F4" s="49" t="s">
        <v>134</v>
      </c>
      <c r="G4" s="49" t="s">
        <v>127</v>
      </c>
      <c r="H4" s="13" t="s">
        <v>41</v>
      </c>
      <c r="I4" s="13">
        <v>0.38219999999999998</v>
      </c>
    </row>
    <row r="5" spans="1:9" x14ac:dyDescent="0.25">
      <c r="A5" s="14" t="s">
        <v>20</v>
      </c>
      <c r="B5" s="15" t="s">
        <v>21</v>
      </c>
      <c r="C5" s="16" t="s">
        <v>10</v>
      </c>
      <c r="D5" s="2">
        <v>1</v>
      </c>
      <c r="F5" s="49" t="s">
        <v>136</v>
      </c>
      <c r="G5" s="49" t="s">
        <v>128</v>
      </c>
      <c r="H5" s="13" t="s">
        <v>41</v>
      </c>
      <c r="I5" s="13">
        <v>0.3</v>
      </c>
    </row>
    <row r="6" spans="1:9" x14ac:dyDescent="0.25">
      <c r="A6" s="14" t="s">
        <v>22</v>
      </c>
      <c r="B6" s="15" t="s">
        <v>23</v>
      </c>
      <c r="C6" s="16" t="s">
        <v>10</v>
      </c>
      <c r="D6" s="2" t="s">
        <v>148</v>
      </c>
      <c r="F6" s="49" t="s">
        <v>135</v>
      </c>
      <c r="G6" s="49" t="s">
        <v>129</v>
      </c>
      <c r="H6" s="13" t="s">
        <v>41</v>
      </c>
      <c r="I6" s="13">
        <v>0.3</v>
      </c>
    </row>
    <row r="7" spans="1:9" x14ac:dyDescent="0.25">
      <c r="A7" s="14" t="s">
        <v>26</v>
      </c>
      <c r="B7" s="15" t="s">
        <v>27</v>
      </c>
      <c r="C7" s="16" t="s">
        <v>10</v>
      </c>
      <c r="D7" s="2" t="s">
        <v>109</v>
      </c>
      <c r="F7" s="14" t="s">
        <v>137</v>
      </c>
      <c r="G7" s="15" t="s">
        <v>131</v>
      </c>
      <c r="H7" s="16" t="s">
        <v>10</v>
      </c>
      <c r="I7" s="2">
        <v>0</v>
      </c>
    </row>
    <row r="8" spans="1:9" ht="15.75" thickBot="1" x14ac:dyDescent="0.3">
      <c r="A8" s="14" t="s">
        <v>30</v>
      </c>
      <c r="B8" s="15" t="s">
        <v>31</v>
      </c>
      <c r="C8" s="16" t="s">
        <v>10</v>
      </c>
      <c r="D8" s="2">
        <v>0</v>
      </c>
      <c r="F8" s="17" t="s">
        <v>132</v>
      </c>
      <c r="G8" s="18" t="s">
        <v>130</v>
      </c>
      <c r="H8" s="19" t="s">
        <v>76</v>
      </c>
      <c r="I8" s="3">
        <v>0</v>
      </c>
    </row>
    <row r="9" spans="1:9" x14ac:dyDescent="0.25">
      <c r="A9" s="14" t="s">
        <v>145</v>
      </c>
      <c r="B9" s="15" t="s">
        <v>146</v>
      </c>
      <c r="C9" s="16" t="s">
        <v>10</v>
      </c>
      <c r="D9" s="2" t="s">
        <v>173</v>
      </c>
      <c r="F9" s="33"/>
      <c r="G9" s="33"/>
      <c r="H9" s="33"/>
      <c r="I9" s="33"/>
    </row>
    <row r="10" spans="1:9" ht="15.75" thickBot="1" x14ac:dyDescent="0.3">
      <c r="A10" s="14" t="s">
        <v>139</v>
      </c>
      <c r="B10" s="15" t="s">
        <v>113</v>
      </c>
      <c r="C10" s="16" t="s">
        <v>10</v>
      </c>
      <c r="D10" s="2">
        <v>1</v>
      </c>
      <c r="F10" s="26" t="s">
        <v>138</v>
      </c>
      <c r="G10" s="27"/>
      <c r="H10" s="27"/>
      <c r="I10" s="27"/>
    </row>
    <row r="11" spans="1:9" ht="15.75" thickBot="1" x14ac:dyDescent="0.3">
      <c r="A11" s="14" t="s">
        <v>112</v>
      </c>
      <c r="B11" s="15" t="s">
        <v>144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35</v>
      </c>
      <c r="B12" s="18" t="s">
        <v>36</v>
      </c>
      <c r="C12" s="19" t="s">
        <v>10</v>
      </c>
      <c r="D12" s="3" t="s">
        <v>167</v>
      </c>
      <c r="F12" s="30" t="s">
        <v>140</v>
      </c>
      <c r="G12" s="15" t="s">
        <v>55</v>
      </c>
      <c r="H12" s="16" t="s">
        <v>41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141</v>
      </c>
      <c r="G13" s="15" t="s">
        <v>65</v>
      </c>
      <c r="H13" s="31" t="s">
        <v>66</v>
      </c>
      <c r="I13" s="2">
        <v>0.43</v>
      </c>
    </row>
    <row r="14" spans="1:9" ht="15.75" thickBot="1" x14ac:dyDescent="0.3">
      <c r="A14" s="24" t="s">
        <v>42</v>
      </c>
      <c r="B14" s="25"/>
      <c r="C14" s="25"/>
      <c r="D14" s="25"/>
      <c r="F14" s="14" t="s">
        <v>116</v>
      </c>
      <c r="G14" s="15" t="s">
        <v>58</v>
      </c>
      <c r="H14" s="16" t="s">
        <v>59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117</v>
      </c>
      <c r="G15" s="18" t="s">
        <v>62</v>
      </c>
      <c r="H15" s="19" t="s">
        <v>41</v>
      </c>
      <c r="I15" s="3">
        <v>0.13</v>
      </c>
    </row>
    <row r="16" spans="1:9" x14ac:dyDescent="0.25">
      <c r="A16" s="14" t="s">
        <v>110</v>
      </c>
      <c r="B16" s="15" t="s">
        <v>111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45</v>
      </c>
      <c r="B17" s="12" t="s">
        <v>46</v>
      </c>
      <c r="C17" s="28" t="s">
        <v>47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165</v>
      </c>
      <c r="B18" s="12" t="s">
        <v>166</v>
      </c>
      <c r="C18" s="28" t="s">
        <v>162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143</v>
      </c>
      <c r="B19" s="12" t="s">
        <v>142</v>
      </c>
      <c r="C19" s="28" t="s">
        <v>10</v>
      </c>
      <c r="D19" s="2" t="s">
        <v>147</v>
      </c>
      <c r="F19" s="11" t="s">
        <v>12</v>
      </c>
      <c r="G19" s="12" t="s">
        <v>13</v>
      </c>
      <c r="H19" s="13" t="s">
        <v>10</v>
      </c>
      <c r="I19" s="1">
        <v>9</v>
      </c>
    </row>
    <row r="20" spans="1:9" x14ac:dyDescent="0.25">
      <c r="A20" s="14" t="s">
        <v>49</v>
      </c>
      <c r="B20" s="15" t="s">
        <v>50</v>
      </c>
      <c r="C20" s="16" t="s">
        <v>10</v>
      </c>
      <c r="D20" s="2" t="s">
        <v>164</v>
      </c>
      <c r="F20" s="14" t="s">
        <v>17</v>
      </c>
      <c r="G20" s="15" t="s">
        <v>18</v>
      </c>
      <c r="H20" s="16" t="s">
        <v>19</v>
      </c>
      <c r="I20" s="2">
        <v>50</v>
      </c>
    </row>
    <row r="21" spans="1:9" x14ac:dyDescent="0.25">
      <c r="A21" s="14" t="s">
        <v>53</v>
      </c>
      <c r="B21" s="15" t="s">
        <v>54</v>
      </c>
      <c r="C21" s="16" t="s">
        <v>10</v>
      </c>
      <c r="D21" s="2"/>
      <c r="F21" s="14" t="s">
        <v>24</v>
      </c>
      <c r="G21" s="15" t="s">
        <v>25</v>
      </c>
      <c r="H21" s="16" t="s">
        <v>10</v>
      </c>
      <c r="I21" s="2">
        <v>1</v>
      </c>
    </row>
    <row r="22" spans="1:9" ht="15.75" thickBot="1" x14ac:dyDescent="0.3">
      <c r="A22" s="14" t="s">
        <v>56</v>
      </c>
      <c r="B22" s="15" t="s">
        <v>57</v>
      </c>
      <c r="C22" s="16" t="s">
        <v>10</v>
      </c>
      <c r="D22" s="2"/>
      <c r="F22" s="17" t="s">
        <v>28</v>
      </c>
      <c r="G22" s="18" t="s">
        <v>29</v>
      </c>
      <c r="H22" s="19" t="s">
        <v>10</v>
      </c>
      <c r="I22" s="3">
        <v>1</v>
      </c>
    </row>
    <row r="23" spans="1:9" x14ac:dyDescent="0.25">
      <c r="A23" s="14" t="s">
        <v>60</v>
      </c>
      <c r="B23" s="15" t="s">
        <v>61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63</v>
      </c>
      <c r="B24" s="15" t="s">
        <v>64</v>
      </c>
      <c r="C24" s="16" t="s">
        <v>10</v>
      </c>
      <c r="D24" s="2"/>
      <c r="F24" s="20" t="s">
        <v>32</v>
      </c>
      <c r="G24" s="21"/>
      <c r="H24" s="21"/>
      <c r="I24" s="21"/>
    </row>
    <row r="25" spans="1:9" ht="15.75" thickBot="1" x14ac:dyDescent="0.3">
      <c r="A25" s="14" t="s">
        <v>67</v>
      </c>
      <c r="B25" s="15" t="s">
        <v>68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69</v>
      </c>
      <c r="B26" s="15" t="s">
        <v>70</v>
      </c>
      <c r="C26" s="16" t="s">
        <v>10</v>
      </c>
      <c r="D26" s="2"/>
      <c r="F26" s="11" t="s">
        <v>33</v>
      </c>
      <c r="G26" s="12" t="s">
        <v>34</v>
      </c>
      <c r="H26" s="13" t="s">
        <v>10</v>
      </c>
      <c r="I26" s="1">
        <v>1</v>
      </c>
    </row>
    <row r="27" spans="1:9" x14ac:dyDescent="0.25">
      <c r="A27" s="14" t="s">
        <v>71</v>
      </c>
      <c r="B27" s="15" t="s">
        <v>72</v>
      </c>
      <c r="C27" s="16" t="s">
        <v>10</v>
      </c>
      <c r="D27" s="2"/>
      <c r="F27" s="14" t="s">
        <v>37</v>
      </c>
      <c r="G27" s="15" t="s">
        <v>38</v>
      </c>
      <c r="H27" s="16" t="s">
        <v>10</v>
      </c>
      <c r="I27" s="2">
        <v>1</v>
      </c>
    </row>
    <row r="28" spans="1:9" ht="15.75" thickBot="1" x14ac:dyDescent="0.3">
      <c r="A28" s="17" t="s">
        <v>73</v>
      </c>
      <c r="B28" s="18" t="s">
        <v>74</v>
      </c>
      <c r="C28" s="19" t="s">
        <v>10</v>
      </c>
      <c r="D28" s="3"/>
      <c r="F28" s="14" t="s">
        <v>39</v>
      </c>
      <c r="G28" s="15" t="s">
        <v>40</v>
      </c>
      <c r="H28" s="16" t="s">
        <v>41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43</v>
      </c>
      <c r="G29" s="18" t="s">
        <v>44</v>
      </c>
      <c r="H29" s="19" t="s">
        <v>41</v>
      </c>
      <c r="I29" s="3">
        <v>1</v>
      </c>
    </row>
    <row r="30" spans="1:9" ht="15.75" thickBot="1" x14ac:dyDescent="0.3">
      <c r="A30" s="34" t="s">
        <v>77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78</v>
      </c>
      <c r="F31" s="26" t="s">
        <v>48</v>
      </c>
      <c r="G31" s="27"/>
      <c r="H31" s="27"/>
      <c r="I31" s="27"/>
    </row>
    <row r="32" spans="1:9" ht="15.75" thickBot="1" x14ac:dyDescent="0.3">
      <c r="A32" s="11" t="s">
        <v>79</v>
      </c>
      <c r="B32" s="12" t="s">
        <v>114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80</v>
      </c>
      <c r="B33" s="15" t="s">
        <v>115</v>
      </c>
      <c r="C33" s="16" t="s">
        <v>10</v>
      </c>
      <c r="D33" s="2">
        <f>NAE_Structure!B11</f>
        <v>3.130296</v>
      </c>
      <c r="F33" s="29" t="s">
        <v>51</v>
      </c>
      <c r="G33" s="12" t="s">
        <v>52</v>
      </c>
      <c r="H33" s="13" t="s">
        <v>10</v>
      </c>
      <c r="I33" s="1">
        <v>1</v>
      </c>
    </row>
    <row r="34" spans="1:9" ht="15.75" thickBot="1" x14ac:dyDescent="0.3">
      <c r="A34" s="14" t="s">
        <v>81</v>
      </c>
      <c r="B34" s="15" t="s">
        <v>82</v>
      </c>
      <c r="C34" s="16" t="s">
        <v>41</v>
      </c>
      <c r="D34" s="2">
        <f>NAE_Structure!B13*-1</f>
        <v>-2.8254960000000002</v>
      </c>
      <c r="F34" s="17" t="s">
        <v>171</v>
      </c>
      <c r="G34" s="18" t="s">
        <v>170</v>
      </c>
      <c r="H34" s="19" t="s">
        <v>10</v>
      </c>
      <c r="I34" s="3">
        <v>1</v>
      </c>
    </row>
    <row r="35" spans="1:9" x14ac:dyDescent="0.25">
      <c r="A35" s="14" t="s">
        <v>83</v>
      </c>
      <c r="B35" s="15" t="s">
        <v>84</v>
      </c>
      <c r="C35" s="16" t="s">
        <v>10</v>
      </c>
      <c r="D35" s="2">
        <v>3</v>
      </c>
    </row>
    <row r="36" spans="1:9" x14ac:dyDescent="0.25">
      <c r="A36" s="14" t="s">
        <v>85</v>
      </c>
      <c r="B36" s="15" t="s">
        <v>86</v>
      </c>
      <c r="C36" s="16" t="s">
        <v>10</v>
      </c>
      <c r="D36" s="2">
        <v>3</v>
      </c>
    </row>
    <row r="37" spans="1:9" x14ac:dyDescent="0.25">
      <c r="A37" s="39" t="s">
        <v>119</v>
      </c>
      <c r="B37" s="39" t="s">
        <v>120</v>
      </c>
      <c r="C37" s="45" t="s">
        <v>10</v>
      </c>
      <c r="D37" s="46">
        <v>0</v>
      </c>
    </row>
    <row r="38" spans="1:9" x14ac:dyDescent="0.25">
      <c r="A38" s="14" t="s">
        <v>121</v>
      </c>
      <c r="B38" s="14" t="s">
        <v>123</v>
      </c>
      <c r="C38" s="16" t="s">
        <v>10</v>
      </c>
      <c r="D38" s="2">
        <v>0</v>
      </c>
    </row>
    <row r="39" spans="1:9" ht="15.75" thickBot="1" x14ac:dyDescent="0.3">
      <c r="A39" s="38" t="s">
        <v>122</v>
      </c>
      <c r="B39" s="38" t="s">
        <v>124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87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78</v>
      </c>
    </row>
    <row r="43" spans="1:9" x14ac:dyDescent="0.25">
      <c r="A43" s="11" t="s">
        <v>88</v>
      </c>
      <c r="B43" s="12" t="s">
        <v>89</v>
      </c>
      <c r="C43" s="13" t="s">
        <v>10</v>
      </c>
      <c r="D43" s="1">
        <v>1.65</v>
      </c>
    </row>
    <row r="44" spans="1:9" x14ac:dyDescent="0.25">
      <c r="A44" s="14" t="s">
        <v>90</v>
      </c>
      <c r="B44" s="15" t="s">
        <v>91</v>
      </c>
      <c r="C44" s="16" t="s">
        <v>92</v>
      </c>
      <c r="D44" s="2">
        <v>907.18</v>
      </c>
    </row>
    <row r="45" spans="1:9" x14ac:dyDescent="0.25">
      <c r="A45" s="14" t="s">
        <v>93</v>
      </c>
      <c r="B45" s="15" t="s">
        <v>94</v>
      </c>
      <c r="C45" s="16" t="s">
        <v>92</v>
      </c>
      <c r="D45" s="2">
        <v>907.18</v>
      </c>
    </row>
    <row r="46" spans="1:9" x14ac:dyDescent="0.25">
      <c r="A46" s="14" t="s">
        <v>95</v>
      </c>
      <c r="B46" s="15" t="s">
        <v>96</v>
      </c>
      <c r="C46" s="16" t="s">
        <v>97</v>
      </c>
      <c r="D46" s="2">
        <v>1027</v>
      </c>
    </row>
    <row r="47" spans="1:9" x14ac:dyDescent="0.25">
      <c r="A47" s="14" t="s">
        <v>98</v>
      </c>
      <c r="B47" s="15" t="s">
        <v>99</v>
      </c>
      <c r="C47" s="16" t="s">
        <v>100</v>
      </c>
      <c r="D47" s="2">
        <v>0.4</v>
      </c>
    </row>
    <row r="48" spans="1:9" x14ac:dyDescent="0.25">
      <c r="A48" s="14" t="s">
        <v>101</v>
      </c>
      <c r="B48" s="15" t="s">
        <v>102</v>
      </c>
      <c r="C48" s="16" t="s">
        <v>10</v>
      </c>
      <c r="D48" s="2">
        <v>20</v>
      </c>
    </row>
    <row r="49" spans="1:4" x14ac:dyDescent="0.25">
      <c r="A49" s="14" t="s">
        <v>103</v>
      </c>
      <c r="B49" s="15" t="s">
        <v>104</v>
      </c>
      <c r="C49" s="16" t="s">
        <v>10</v>
      </c>
      <c r="D49" s="2">
        <v>20</v>
      </c>
    </row>
    <row r="50" spans="1:4" x14ac:dyDescent="0.25">
      <c r="A50" s="14" t="s">
        <v>105</v>
      </c>
      <c r="B50" s="15" t="s">
        <v>106</v>
      </c>
      <c r="C50" s="16" t="s">
        <v>10</v>
      </c>
      <c r="D50" s="2">
        <v>5</v>
      </c>
    </row>
    <row r="51" spans="1:4" x14ac:dyDescent="0.25">
      <c r="A51" s="39" t="s">
        <v>107</v>
      </c>
      <c r="B51" s="40" t="s">
        <v>108</v>
      </c>
      <c r="C51" s="41" t="s">
        <v>10</v>
      </c>
      <c r="D51" s="42">
        <v>2</v>
      </c>
    </row>
    <row r="52" spans="1:4" ht="30.75" thickBot="1" x14ac:dyDescent="0.3">
      <c r="A52" s="18" t="s">
        <v>118</v>
      </c>
      <c r="B52" s="48" t="s">
        <v>125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149</v>
      </c>
    </row>
    <row r="2" spans="1:4" x14ac:dyDescent="0.25">
      <c r="A2" t="s">
        <v>150</v>
      </c>
      <c r="B2">
        <v>1</v>
      </c>
    </row>
    <row r="3" spans="1:4" x14ac:dyDescent="0.25">
      <c r="A3" t="s">
        <v>151</v>
      </c>
      <c r="B3">
        <v>10</v>
      </c>
      <c r="C3" t="s">
        <v>152</v>
      </c>
    </row>
    <row r="4" spans="1:4" x14ac:dyDescent="0.25">
      <c r="A4" t="s">
        <v>153</v>
      </c>
      <c r="B4">
        <v>16</v>
      </c>
      <c r="C4" t="s">
        <v>154</v>
      </c>
    </row>
    <row r="5" spans="1:4" x14ac:dyDescent="0.25">
      <c r="A5" t="s">
        <v>155</v>
      </c>
      <c r="B5">
        <v>9</v>
      </c>
      <c r="C5" t="s">
        <v>154</v>
      </c>
    </row>
    <row r="6" spans="1:4" x14ac:dyDescent="0.25">
      <c r="A6" t="s">
        <v>156</v>
      </c>
      <c r="B6">
        <v>3</v>
      </c>
    </row>
    <row r="7" spans="1:4" x14ac:dyDescent="0.25">
      <c r="A7" t="s">
        <v>157</v>
      </c>
      <c r="B7">
        <v>1</v>
      </c>
    </row>
    <row r="8" spans="1:4" ht="30" x14ac:dyDescent="0.25">
      <c r="A8" t="s">
        <v>158</v>
      </c>
      <c r="B8">
        <f>1.8-1.53</f>
        <v>0.27</v>
      </c>
      <c r="C8" s="50" t="s">
        <v>159</v>
      </c>
      <c r="D8" t="s">
        <v>160</v>
      </c>
    </row>
    <row r="10" spans="1:4" x14ac:dyDescent="0.25">
      <c r="A10" t="s">
        <v>161</v>
      </c>
    </row>
    <row r="11" spans="1:4" x14ac:dyDescent="0.25">
      <c r="A11" t="s">
        <v>151</v>
      </c>
      <c r="B11">
        <f>(B3+$B$8)*0.3048</f>
        <v>3.130296</v>
      </c>
      <c r="C11" t="s">
        <v>162</v>
      </c>
    </row>
    <row r="12" spans="1:4" x14ac:dyDescent="0.25">
      <c r="A12" t="s">
        <v>153</v>
      </c>
      <c r="B12">
        <f t="shared" ref="B12:B13" si="0">(B4+$B$8)*0.3048</f>
        <v>4.9590959999999997</v>
      </c>
      <c r="C12" t="s">
        <v>163</v>
      </c>
    </row>
    <row r="13" spans="1:4" x14ac:dyDescent="0.25">
      <c r="A13" t="s">
        <v>155</v>
      </c>
      <c r="B13">
        <f t="shared" si="0"/>
        <v>2.8254960000000002</v>
      </c>
      <c r="C13" t="s">
        <v>163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2023-03-07T20:33:26Z</dcterms:modified>
</cp:coreProperties>
</file>