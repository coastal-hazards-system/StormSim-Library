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gar\OneDrive\Desktop\StormSim-Dev\"/>
    </mc:Choice>
  </mc:AlternateContent>
  <xr:revisionPtr revIDLastSave="0" documentId="13_ncr:1_{4ED4FECB-D599-4B43-813F-CF3C99335CD6}" xr6:coauthVersionLast="47" xr6:coauthVersionMax="47" xr10:uidLastSave="{00000000-0000-0000-0000-000000000000}"/>
  <bookViews>
    <workbookView xWindow="13170" yWindow="1740" windowWidth="15180" windowHeight="18870" xr2:uid="{DCE98FF7-F0BD-48B7-BD15-98C25A65ECBE}"/>
  </bookViews>
  <sheets>
    <sheet name="James_Island_Midbay" sheetId="1" r:id="rId1"/>
    <sheet name="TIm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9" i="4" l="1"/>
  <c r="C54" i="4"/>
  <c r="D54" i="4" s="1"/>
  <c r="D53" i="4"/>
  <c r="D52" i="4"/>
  <c r="D51" i="4"/>
  <c r="D50" i="4"/>
  <c r="D49" i="4"/>
  <c r="D48" i="4"/>
  <c r="A48" i="4"/>
  <c r="A49" i="4" s="1"/>
  <c r="A50" i="4" s="1"/>
  <c r="A51" i="4" s="1"/>
  <c r="A52" i="4" s="1"/>
  <c r="A53" i="4" s="1"/>
  <c r="D47" i="4"/>
  <c r="D19" i="4"/>
  <c r="D20" i="4"/>
  <c r="D21" i="4"/>
  <c r="D22" i="4"/>
  <c r="D23" i="4"/>
  <c r="E23" i="4" s="1"/>
  <c r="F23" i="4" s="1"/>
  <c r="F24" i="4" s="1"/>
  <c r="D17" i="4"/>
  <c r="D18" i="4"/>
  <c r="C24" i="4"/>
  <c r="D24" i="4" s="1"/>
  <c r="A18" i="4"/>
  <c r="A19" i="4" s="1"/>
  <c r="A20" i="4" s="1"/>
  <c r="A21" i="4" s="1"/>
  <c r="A22" i="4" s="1"/>
  <c r="A23" i="4" s="1"/>
</calcChain>
</file>

<file path=xl/sharedStrings.xml><?xml version="1.0" encoding="utf-8"?>
<sst xmlns="http://schemas.openxmlformats.org/spreadsheetml/2006/main" count="335" uniqueCount="206">
  <si>
    <t>StormSim Project General Inputs</t>
  </si>
  <si>
    <t>StormSim: Monte Carlo Simulation (MCS) Module Inputs</t>
  </si>
  <si>
    <t xml:space="preserve"> </t>
  </si>
  <si>
    <t>Model Variable Symbol</t>
  </si>
  <si>
    <t>Description</t>
  </si>
  <si>
    <t>Units</t>
  </si>
  <si>
    <t>Value</t>
  </si>
  <si>
    <t>Field Names</t>
  </si>
  <si>
    <t>project_name</t>
  </si>
  <si>
    <t>Project name</t>
  </si>
  <si>
    <t>NA</t>
  </si>
  <si>
    <t>mcs_nLC</t>
  </si>
  <si>
    <t>Number Of Life Cycles</t>
  </si>
  <si>
    <t>struc_id</t>
  </si>
  <si>
    <t>Structure/Trasnsect ID</t>
  </si>
  <si>
    <t>mcs_nYears</t>
  </si>
  <si>
    <t>Number Of Years To Be Simulated In A Life Cycle</t>
  </si>
  <si>
    <t>[years]</t>
  </si>
  <si>
    <t>struc_type</t>
  </si>
  <si>
    <t>Structure type  (Levee - 1, Floodwalls - 2, Rubblemound - 3)</t>
  </si>
  <si>
    <t>project_datum</t>
  </si>
  <si>
    <t>Project output datum. (Still not implemented. Used for plot title currently)</t>
  </si>
  <si>
    <t>storm_sampling</t>
  </si>
  <si>
    <t>Storm sampling scheme to use for project. (XC,TC or CC)</t>
  </si>
  <si>
    <t>swl_slr</t>
  </si>
  <si>
    <t>Sea level rise applied as vertical offset to SWL.</t>
  </si>
  <si>
    <t>StormSim: Coastal Structure Reliability Damage  (CSR) Module</t>
  </si>
  <si>
    <t>csr_call_dpa</t>
  </si>
  <si>
    <t>Call StormSim: CSR-DPA (0/1)</t>
  </si>
  <si>
    <t>project_CLs</t>
  </si>
  <si>
    <t>Percentiles to compute CLs (max 4, 50 is already being calculated)</t>
  </si>
  <si>
    <t>csr_apply_structure_repair</t>
  </si>
  <si>
    <t>Allow Structure Repair (0/1)</t>
  </si>
  <si>
    <t>csr_apply_cutoff_correction</t>
  </si>
  <si>
    <t>Apply Cutoff Correction (0/1)</t>
  </si>
  <si>
    <t>StormSim Project Forcing Data</t>
  </si>
  <si>
    <t>csr_cutoff_offset</t>
  </si>
  <si>
    <t>Cutoff Elevation Delta (Number&gt;=0)</t>
  </si>
  <si>
    <t>storm_duration</t>
  </si>
  <si>
    <t>Storm duration.</t>
  </si>
  <si>
    <t>hrs</t>
  </si>
  <si>
    <t>StormSim: Probabilistic Run-up, Overtopping &amp; Stone Sizing (PROS)</t>
  </si>
  <si>
    <t>chs_zip</t>
  </si>
  <si>
    <t>pros_compute_forcing_HC</t>
  </si>
  <si>
    <t>Compute Hazard for Waves and WL (1 - On, 2 - Off)</t>
  </si>
  <si>
    <t>Dn50 Uncertainty</t>
  </si>
  <si>
    <t>Overtopping Uncertainty</t>
  </si>
  <si>
    <t>Runup Uncertainty</t>
  </si>
  <si>
    <t>Surface Pressure (p1) Uncertainty' (Floodwalls Only)</t>
  </si>
  <si>
    <t xml:space="preserve">StormSim Project Forcing Uncertainty </t>
  </si>
  <si>
    <t>[s]</t>
  </si>
  <si>
    <t>Structure Geometry</t>
  </si>
  <si>
    <t>Mean Value</t>
  </si>
  <si>
    <t>crest_elevation</t>
  </si>
  <si>
    <t>crest_width</t>
  </si>
  <si>
    <t>toe_elevation</t>
  </si>
  <si>
    <t>seaside_slope</t>
  </si>
  <si>
    <t>leeside_slope</t>
  </si>
  <si>
    <t>Structure Properties</t>
  </si>
  <si>
    <t>armor_delta</t>
  </si>
  <si>
    <t>Armor Immersed Relative Density Delta</t>
  </si>
  <si>
    <t>seaside_mass</t>
  </si>
  <si>
    <t>Seaside Stone Mass</t>
  </si>
  <si>
    <t>leeside_mass</t>
  </si>
  <si>
    <t>Leeside Stone Mass</t>
  </si>
  <si>
    <t>water_density</t>
  </si>
  <si>
    <t>Water Density</t>
  </si>
  <si>
    <t>cem_P</t>
  </si>
  <si>
    <t>Mean Value Of Structure Notational Permeability Coefficient (P)</t>
  </si>
  <si>
    <t>[Figure VI-5-11 CEM]</t>
  </si>
  <si>
    <t>seaside_limit_S</t>
  </si>
  <si>
    <t>Seaside Limit Damage State</t>
  </si>
  <si>
    <t>leeside_limit_S</t>
  </si>
  <si>
    <t>Leeside Limit Damage State</t>
  </si>
  <si>
    <t>seaside_init_S</t>
  </si>
  <si>
    <t>Seaside Zero Damage Level S_Ss</t>
  </si>
  <si>
    <t>leeside_init_S</t>
  </si>
  <si>
    <t>Leeside Zero Damage Level S_Ls</t>
  </si>
  <si>
    <t>CC</t>
  </si>
  <si>
    <t>use_timeseries</t>
  </si>
  <si>
    <t>Apply Depth Limitation To Waves (0/1)</t>
  </si>
  <si>
    <t>Crest Width/Wall Width</t>
  </si>
  <si>
    <t>q_u</t>
  </si>
  <si>
    <t>r2p_u</t>
  </si>
  <si>
    <t>roughness_ifactor</t>
  </si>
  <si>
    <t>structure_dir</t>
  </si>
  <si>
    <t>Structure Direction, Degrees of perpendicular to the structure [ N = 0, E = +90]</t>
  </si>
  <si>
    <t>berm_width</t>
  </si>
  <si>
    <t>berm_elevation</t>
  </si>
  <si>
    <t>Berm Width</t>
  </si>
  <si>
    <t>Roughness Coefficient, 2 for grass; 1 for concrete, asphalt, or closed blocks; 0.9 for basalt or placed revetment blocks; 0.8 for stepped structure; (rubble mound here! )</t>
  </si>
  <si>
    <t>SWL Absolute Uncertainty, U_a</t>
  </si>
  <si>
    <t>SWL Proportional Uncertainty, U_r</t>
  </si>
  <si>
    <t>Hm0 Absolute Uncertainty, U_a</t>
  </si>
  <si>
    <t>Hm0 Proportional Uncertainty, U_r</t>
  </si>
  <si>
    <t>Tide Std Deviation</t>
  </si>
  <si>
    <t>Wave Direction Uncertainty</t>
  </si>
  <si>
    <t>tide_std</t>
  </si>
  <si>
    <t>chs_swl_u_a</t>
  </si>
  <si>
    <t>chs_swl_u_r</t>
  </si>
  <si>
    <t>chs_hm0_u_r</t>
  </si>
  <si>
    <t>chs_hm0_u_a</t>
  </si>
  <si>
    <t>chs_wDir_u_a</t>
  </si>
  <si>
    <t>StormSim Project Structure Response Uncertainty</t>
  </si>
  <si>
    <t>apply_depth_limitation</t>
  </si>
  <si>
    <t>dn50_u</t>
  </si>
  <si>
    <t>p1_u</t>
  </si>
  <si>
    <t>CHS Region Bias File</t>
  </si>
  <si>
    <t>chs_bias_file</t>
  </si>
  <si>
    <t>tide_file</t>
  </si>
  <si>
    <t>Tidal file used to randomly sample tidal values for storm SWL.</t>
  </si>
  <si>
    <t>NAVD</t>
  </si>
  <si>
    <t>m</t>
  </si>
  <si>
    <t>chs_sp_depth</t>
  </si>
  <si>
    <t>CHS savepoint depth (Will be used if not found in h5)</t>
  </si>
  <si>
    <t>[16 84]</t>
  </si>
  <si>
    <t>Use AEP or AEF for hazard curves (1 - AEP, 0-AEF)</t>
  </si>
  <si>
    <t>pros_use_aep</t>
  </si>
  <si>
    <t>case_name</t>
  </si>
  <si>
    <t>Case Name</t>
  </si>
  <si>
    <t>James_Island</t>
  </si>
  <si>
    <t>workflow</t>
  </si>
  <si>
    <t>Include forcing peaks files as part of the analysis. (0/1)</t>
  </si>
  <si>
    <t>Include forcing timeseries files as part of the analysis. (0/1)</t>
  </si>
  <si>
    <t>use_peaks</t>
  </si>
  <si>
    <t>Create Wave Height Priority Peaks Dataset (WLP) (0/1). (Requires peaks and timeseries files)</t>
  </si>
  <si>
    <t>Create Water Level Priority Peaks Dataset (WLP) (0/1). (Requires peaks and timeseries files)</t>
  </si>
  <si>
    <t>mcs_sampling_mode</t>
  </si>
  <si>
    <t>Sampling method used to pick storms for LCs. (0 - historical, 1 - probabilistic)</t>
  </si>
  <si>
    <t>create_wlp</t>
  </si>
  <si>
    <t>create_whp</t>
  </si>
  <si>
    <t>Berm Elevation (Negative Below Datum Zero)</t>
  </si>
  <si>
    <t>Crest Elevation/Top of Wall Elevation</t>
  </si>
  <si>
    <t>Mound Toe Elevation (Negative Below Datum Zero)</t>
  </si>
  <si>
    <t>Bottom of Wall Elevation (Applies to wall type structures)</t>
  </si>
  <si>
    <t>Mound/Berm Seaward Slope</t>
  </si>
  <si>
    <t>Mound Landward Slope</t>
  </si>
  <si>
    <t>[m]</t>
  </si>
  <si>
    <t>[kg]</t>
  </si>
  <si>
    <t>[kg/m^3]</t>
  </si>
  <si>
    <t>[m^3/s/m]</t>
  </si>
  <si>
    <t>[N/m^2]</t>
  </si>
  <si>
    <t>[deg]</t>
  </si>
  <si>
    <t>Wall Seaward Slope (Same Slope Is Assumed For Landward Slope)</t>
  </si>
  <si>
    <t>berm_slope</t>
  </si>
  <si>
    <t>RB1 + RB3 w WLP &amp; WHP</t>
  </si>
  <si>
    <t>Step #</t>
  </si>
  <si>
    <t xml:space="preserve">Set-up Environment </t>
  </si>
  <si>
    <t>CHS Data Formater</t>
  </si>
  <si>
    <t xml:space="preserve">Create Project Forcing </t>
  </si>
  <si>
    <t>Create Structure Geometry</t>
  </si>
  <si>
    <t xml:space="preserve">Call Uncertainty Engine </t>
  </si>
  <si>
    <t xml:space="preserve">Call Project Forcing Adjsuter </t>
  </si>
  <si>
    <t xml:space="preserve">Call Project Responses </t>
  </si>
  <si>
    <t>Time [s]</t>
  </si>
  <si>
    <t>Total Time</t>
  </si>
  <si>
    <t>(Processed 1031 TC storms + 100 XCs)</t>
  </si>
  <si>
    <t>Time [min]</t>
  </si>
  <si>
    <t xml:space="preserve">Rubble mound </t>
  </si>
  <si>
    <t>SWL</t>
  </si>
  <si>
    <t>Hm0</t>
  </si>
  <si>
    <t>Tp</t>
  </si>
  <si>
    <t>q</t>
  </si>
  <si>
    <t>R2p</t>
  </si>
  <si>
    <t>Dn50</t>
  </si>
  <si>
    <t>Time Per Dataset (Peak Maxima , Peak WLP, Peak WHP &amp; RB3</t>
  </si>
  <si>
    <t>StormSim Library Stress Testing</t>
  </si>
  <si>
    <t>Computational Kernel</t>
  </si>
  <si>
    <t xml:space="preserve">Response Base </t>
  </si>
  <si>
    <t>Workflow</t>
  </si>
  <si>
    <t>PROS</t>
  </si>
  <si>
    <t>Structure Type</t>
  </si>
  <si>
    <t>Rubblemound</t>
  </si>
  <si>
    <t>Use Peaks</t>
  </si>
  <si>
    <t xml:space="preserve">Use Timeseries </t>
  </si>
  <si>
    <t>WLP &amp; WHP</t>
  </si>
  <si>
    <t xml:space="preserve">Rand Tides </t>
  </si>
  <si>
    <t>SLR</t>
  </si>
  <si>
    <t>Depth Limitation</t>
  </si>
  <si>
    <t>Storm Sampling</t>
  </si>
  <si>
    <t>yes</t>
  </si>
  <si>
    <t>Time Per Response</t>
  </si>
  <si>
    <t>secs</t>
  </si>
  <si>
    <t>Mins</t>
  </si>
  <si>
    <t>wall_bottom_elevation</t>
  </si>
  <si>
    <t>Responses</t>
  </si>
  <si>
    <t>James Island</t>
  </si>
  <si>
    <t xml:space="preserve">Peaks Reliability </t>
  </si>
  <si>
    <t xml:space="preserve">Seaside Armor damage </t>
  </si>
  <si>
    <t xml:space="preserve">Leeside Armor damage </t>
  </si>
  <si>
    <t>Life Cycle Simulation</t>
  </si>
  <si>
    <t>Response Base Simulation</t>
  </si>
  <si>
    <t>Peaks + Timeseries w WLP &amp; WHP</t>
  </si>
  <si>
    <t xml:space="preserve">Historical Sampling </t>
  </si>
  <si>
    <t>Alternative_Feas</t>
  </si>
  <si>
    <t>CO-OPS_8571421_Bishops_Head_Pred_tide_MSL_m.csv</t>
  </si>
  <si>
    <t>StormSim_Library\CHS\Bias_Correction_Files\NACCS_Comb_BiasUncertainty_perVG_rta.mat</t>
  </si>
  <si>
    <t>prob_mass_source</t>
  </si>
  <si>
    <t>Probability Masses (CHS -&gt; MCSim_Inputs folder path, Custom Modeling -&gt; .mat filename with relative path)</t>
  </si>
  <si>
    <t>prob_mass_from_MB_SP2243\prob_mass_from_MB_SP2243.mat</t>
  </si>
  <si>
    <t>forcing_type</t>
  </si>
  <si>
    <t>prob_mass_from_MB_SP2243\CHS_Data_from_MB_SP2243.mat</t>
  </si>
  <si>
    <t>Forcing Data Source (0 - CHS/CSTORM, 1- Custom Modeling)</t>
  </si>
  <si>
    <t>CHS Zip Folder or Custom Modeling .mat File (Relative Path)</t>
  </si>
  <si>
    <t>StormSim workflow to call for project. (1 - StormSim:PROS Response Base (RB), 2- StormSim:EVA, 3- StormSim:LCS, 4- StormSim: PROS Frequency Base (FB))</t>
  </si>
  <si>
    <t>Sta339_plus2_floodwall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</si>
</sst>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8" xfId="0" applyBorder="1" applyAlignment="1">
      <alignment horizontal="left" vertical="center"/>
    </xf>
    <xf numFmtId="0" fontId="0" fillId="0" borderId="8" xfId="0" applyBorder="1" applyAlignment="1">
      <alignment horizontal="center" vertical="center"/>
    </xf>
    <xf numFmtId="0" fontId="1" fillId="5" borderId="0" xfId="0" applyFont="1" applyFill="1"/>
    <xf numFmtId="0" fontId="0" fillId="5" borderId="0" xfId="0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2" fillId="6" borderId="0" xfId="0" applyFont="1" applyFill="1"/>
    <xf numFmtId="0" fontId="0" fillId="6" borderId="0" xfId="0" applyFill="1"/>
    <xf numFmtId="0" fontId="4" fillId="7" borderId="0" xfId="0" applyFont="1" applyFill="1" applyAlignment="1">
      <alignment vertical="center"/>
    </xf>
    <xf numFmtId="0" fontId="0" fillId="7" borderId="0" xfId="0" applyFill="1"/>
    <xf numFmtId="0" fontId="3" fillId="0" borderId="4" xfId="0" applyFont="1" applyBorder="1" applyAlignment="1">
      <alignment horizontal="center" vertical="center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 applyAlignment="1">
      <alignment horizontal="center" vertical="center"/>
    </xf>
    <xf numFmtId="0" fontId="2" fillId="8" borderId="0" xfId="0" applyFont="1" applyFill="1"/>
    <xf numFmtId="0" fontId="0" fillId="8" borderId="0" xfId="0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0" borderId="9" xfId="0" applyBorder="1"/>
    <xf numFmtId="0" fontId="0" fillId="0" borderId="11" xfId="0" applyBorder="1"/>
    <xf numFmtId="0" fontId="5" fillId="0" borderId="12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5" xfId="0" applyBorder="1" applyAlignment="1">
      <alignment horizontal="center" vertical="center"/>
    </xf>
    <xf numFmtId="0" fontId="0" fillId="0" borderId="15" xfId="0" applyBorder="1" applyAlignment="1" applyProtection="1">
      <alignment horizontal="center" vertical="center"/>
      <protection locked="0"/>
    </xf>
    <xf numFmtId="0" fontId="3" fillId="0" borderId="3" xfId="0" applyFont="1" applyBorder="1" applyAlignment="1">
      <alignment horizontal="left"/>
    </xf>
    <xf numFmtId="0" fontId="0" fillId="0" borderId="8" xfId="0" applyBorder="1" applyAlignment="1">
      <alignment horizontal="left" vertical="center" wrapText="1"/>
    </xf>
    <xf numFmtId="0" fontId="0" fillId="0" borderId="4" xfId="0" applyBorder="1" applyAlignment="1">
      <alignment horizontal="left"/>
    </xf>
    <xf numFmtId="0" fontId="0" fillId="4" borderId="0" xfId="0" applyFill="1"/>
    <xf numFmtId="0" fontId="0" fillId="11" borderId="0" xfId="0" applyFill="1"/>
    <xf numFmtId="164" fontId="0" fillId="0" borderId="17" xfId="0" applyNumberFormat="1" applyBorder="1"/>
    <xf numFmtId="164" fontId="0" fillId="0" borderId="18" xfId="0" applyNumberFormat="1" applyBorder="1"/>
    <xf numFmtId="0" fontId="1" fillId="4" borderId="2" xfId="0" applyFont="1" applyFill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0" fillId="0" borderId="8" xfId="0" applyBorder="1"/>
    <xf numFmtId="0" fontId="1" fillId="4" borderId="19" xfId="0" applyFont="1" applyFill="1" applyBorder="1" applyAlignment="1">
      <alignment horizontal="center"/>
    </xf>
    <xf numFmtId="164" fontId="0" fillId="0" borderId="4" xfId="0" applyNumberFormat="1" applyBorder="1"/>
    <xf numFmtId="164" fontId="0" fillId="0" borderId="6" xfId="0" applyNumberFormat="1" applyBorder="1"/>
    <xf numFmtId="164" fontId="0" fillId="0" borderId="8" xfId="0" applyNumberFormat="1" applyBorder="1"/>
    <xf numFmtId="164" fontId="0" fillId="0" borderId="20" xfId="0" applyNumberFormat="1" applyBorder="1"/>
    <xf numFmtId="2" fontId="0" fillId="0" borderId="21" xfId="0" applyNumberFormat="1" applyBorder="1" applyAlignment="1">
      <alignment horizontal="center" vertical="center"/>
    </xf>
    <xf numFmtId="165" fontId="0" fillId="0" borderId="0" xfId="0" applyNumberFormat="1"/>
    <xf numFmtId="0" fontId="1" fillId="9" borderId="16" xfId="0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29750-2AFD-4BF7-A911-1DC4ADC0FD7A}">
  <dimension ref="A1:I66"/>
  <sheetViews>
    <sheetView tabSelected="1" topLeftCell="D1" zoomScale="80" zoomScaleNormal="80" workbookViewId="0">
      <selection activeCell="D8" sqref="D8"/>
    </sheetView>
  </sheetViews>
  <sheetFormatPr defaultRowHeight="15" x14ac:dyDescent="0.25"/>
  <cols>
    <col min="1" max="1" width="24.5703125" customWidth="1"/>
    <col min="2" max="2" width="152" bestFit="1" customWidth="1"/>
    <col min="3" max="3" width="19.28515625" bestFit="1" customWidth="1"/>
    <col min="4" max="4" width="171.140625" bestFit="1" customWidth="1"/>
    <col min="6" max="6" width="28.42578125" customWidth="1"/>
    <col min="7" max="7" width="78.42578125" bestFit="1" customWidth="1"/>
    <col min="8" max="8" width="46.140625" customWidth="1"/>
  </cols>
  <sheetData>
    <row r="1" spans="1:9" ht="15.75" thickBot="1" x14ac:dyDescent="0.3">
      <c r="A1" s="5" t="s">
        <v>0</v>
      </c>
      <c r="B1" s="6"/>
      <c r="C1" s="6"/>
      <c r="D1" s="6"/>
      <c r="F1" s="32" t="s">
        <v>49</v>
      </c>
      <c r="G1" s="33"/>
      <c r="H1" s="33"/>
      <c r="I1" s="33"/>
    </row>
    <row r="2" spans="1:9" ht="15.75" thickBot="1" x14ac:dyDescent="0.3">
      <c r="A2" s="9" t="s">
        <v>3</v>
      </c>
      <c r="B2" s="10" t="s">
        <v>4</v>
      </c>
      <c r="C2" s="10" t="s">
        <v>5</v>
      </c>
      <c r="D2" s="10" t="s">
        <v>6</v>
      </c>
      <c r="F2" s="9" t="s">
        <v>3</v>
      </c>
      <c r="G2" s="10" t="s">
        <v>7</v>
      </c>
      <c r="H2" s="10" t="s">
        <v>5</v>
      </c>
      <c r="I2" s="10" t="s">
        <v>6</v>
      </c>
    </row>
    <row r="3" spans="1:9" x14ac:dyDescent="0.25">
      <c r="A3" s="11" t="s">
        <v>8</v>
      </c>
      <c r="B3" s="12" t="s">
        <v>9</v>
      </c>
      <c r="C3" s="13" t="s">
        <v>10</v>
      </c>
      <c r="D3" s="1" t="s">
        <v>120</v>
      </c>
      <c r="F3" s="49" t="s">
        <v>98</v>
      </c>
      <c r="G3" s="49" t="s">
        <v>91</v>
      </c>
      <c r="H3" s="13" t="s">
        <v>137</v>
      </c>
      <c r="I3" s="13">
        <v>0.33979999999999999</v>
      </c>
    </row>
    <row r="4" spans="1:9" x14ac:dyDescent="0.25">
      <c r="A4" s="14" t="s">
        <v>13</v>
      </c>
      <c r="B4" s="15" t="s">
        <v>14</v>
      </c>
      <c r="C4" s="16" t="s">
        <v>10</v>
      </c>
      <c r="D4" s="2" t="s">
        <v>205</v>
      </c>
      <c r="F4" s="49" t="s">
        <v>99</v>
      </c>
      <c r="G4" s="49" t="s">
        <v>92</v>
      </c>
      <c r="H4" s="13" t="s">
        <v>10</v>
      </c>
      <c r="I4" s="13">
        <v>0.38219999999999998</v>
      </c>
    </row>
    <row r="5" spans="1:9" x14ac:dyDescent="0.25">
      <c r="A5" s="14" t="s">
        <v>118</v>
      </c>
      <c r="B5" s="15" t="s">
        <v>119</v>
      </c>
      <c r="C5" s="16" t="s">
        <v>10</v>
      </c>
      <c r="D5" s="2" t="s">
        <v>194</v>
      </c>
      <c r="F5" s="49" t="s">
        <v>101</v>
      </c>
      <c r="G5" s="49" t="s">
        <v>93</v>
      </c>
      <c r="H5" s="13" t="s">
        <v>137</v>
      </c>
      <c r="I5" s="13">
        <v>0.3</v>
      </c>
    </row>
    <row r="6" spans="1:9" x14ac:dyDescent="0.25">
      <c r="A6" s="14" t="s">
        <v>20</v>
      </c>
      <c r="B6" s="15" t="s">
        <v>21</v>
      </c>
      <c r="C6" s="16" t="s">
        <v>10</v>
      </c>
      <c r="D6" s="2" t="s">
        <v>111</v>
      </c>
      <c r="F6" s="49" t="s">
        <v>100</v>
      </c>
      <c r="G6" s="49" t="s">
        <v>94</v>
      </c>
      <c r="H6" s="13" t="s">
        <v>10</v>
      </c>
      <c r="I6" s="13">
        <v>0.3</v>
      </c>
    </row>
    <row r="7" spans="1:9" x14ac:dyDescent="0.25">
      <c r="A7" s="14" t="s">
        <v>29</v>
      </c>
      <c r="B7" s="15" t="s">
        <v>30</v>
      </c>
      <c r="C7" s="16" t="s">
        <v>10</v>
      </c>
      <c r="D7" s="2" t="s">
        <v>115</v>
      </c>
      <c r="F7" s="14" t="s">
        <v>102</v>
      </c>
      <c r="G7" s="15" t="s">
        <v>96</v>
      </c>
      <c r="H7" s="16" t="s">
        <v>142</v>
      </c>
      <c r="I7" s="2">
        <v>0</v>
      </c>
    </row>
    <row r="8" spans="1:9" ht="15.75" thickBot="1" x14ac:dyDescent="0.3">
      <c r="A8" s="14" t="s">
        <v>121</v>
      </c>
      <c r="B8" s="15" t="s">
        <v>204</v>
      </c>
      <c r="C8" s="16" t="s">
        <v>10</v>
      </c>
      <c r="D8" s="2">
        <v>4</v>
      </c>
      <c r="F8" s="17" t="s">
        <v>97</v>
      </c>
      <c r="G8" s="18" t="s">
        <v>95</v>
      </c>
      <c r="H8" s="19" t="s">
        <v>50</v>
      </c>
      <c r="I8" s="3">
        <v>0</v>
      </c>
    </row>
    <row r="9" spans="1:9" x14ac:dyDescent="0.25">
      <c r="A9" s="14" t="s">
        <v>18</v>
      </c>
      <c r="B9" s="15" t="s">
        <v>19</v>
      </c>
      <c r="C9" s="16" t="s">
        <v>10</v>
      </c>
      <c r="D9" s="2">
        <v>2</v>
      </c>
      <c r="F9" s="33"/>
      <c r="G9" s="33"/>
      <c r="H9" s="33"/>
      <c r="I9" s="33"/>
    </row>
    <row r="10" spans="1:9" ht="15.75" thickBot="1" x14ac:dyDescent="0.3">
      <c r="A10" s="14" t="s">
        <v>22</v>
      </c>
      <c r="B10" s="15" t="s">
        <v>23</v>
      </c>
      <c r="C10" s="16" t="s">
        <v>10</v>
      </c>
      <c r="D10" s="2" t="s">
        <v>78</v>
      </c>
      <c r="F10" s="26" t="s">
        <v>103</v>
      </c>
      <c r="G10" s="27"/>
      <c r="H10" s="27"/>
      <c r="I10" s="27"/>
    </row>
    <row r="11" spans="1:9" ht="15.75" thickBot="1" x14ac:dyDescent="0.3">
      <c r="A11" s="14" t="s">
        <v>24</v>
      </c>
      <c r="B11" s="15" t="s">
        <v>25</v>
      </c>
      <c r="C11" s="16" t="s">
        <v>10</v>
      </c>
      <c r="D11" s="2">
        <v>0</v>
      </c>
      <c r="F11" s="9" t="s">
        <v>3</v>
      </c>
      <c r="G11" s="10" t="s">
        <v>7</v>
      </c>
      <c r="H11" s="10" t="s">
        <v>5</v>
      </c>
      <c r="I11" s="10" t="s">
        <v>6</v>
      </c>
    </row>
    <row r="12" spans="1:9" x14ac:dyDescent="0.25">
      <c r="A12" s="14" t="s">
        <v>109</v>
      </c>
      <c r="B12" s="15" t="s">
        <v>110</v>
      </c>
      <c r="C12" s="16" t="s">
        <v>10</v>
      </c>
      <c r="D12" s="2" t="s">
        <v>195</v>
      </c>
      <c r="F12" s="30" t="s">
        <v>105</v>
      </c>
      <c r="G12" s="15" t="s">
        <v>45</v>
      </c>
      <c r="H12" s="16" t="s">
        <v>137</v>
      </c>
      <c r="I12" s="2">
        <v>0.5</v>
      </c>
    </row>
    <row r="13" spans="1:9" x14ac:dyDescent="0.25">
      <c r="A13" s="14" t="s">
        <v>104</v>
      </c>
      <c r="B13" s="15" t="s">
        <v>80</v>
      </c>
      <c r="C13" s="16" t="s">
        <v>10</v>
      </c>
      <c r="D13" s="2">
        <v>1</v>
      </c>
      <c r="F13" s="30" t="s">
        <v>106</v>
      </c>
      <c r="G13" s="15" t="s">
        <v>48</v>
      </c>
      <c r="H13" s="31" t="s">
        <v>141</v>
      </c>
      <c r="I13" s="2">
        <v>0.43</v>
      </c>
    </row>
    <row r="14" spans="1:9" x14ac:dyDescent="0.25">
      <c r="A14" s="14" t="s">
        <v>124</v>
      </c>
      <c r="B14" s="15" t="s">
        <v>122</v>
      </c>
      <c r="C14" s="16" t="s">
        <v>10</v>
      </c>
      <c r="D14" s="2">
        <v>0</v>
      </c>
      <c r="F14" s="14" t="s">
        <v>82</v>
      </c>
      <c r="G14" s="15" t="s">
        <v>46</v>
      </c>
      <c r="H14" s="16" t="s">
        <v>140</v>
      </c>
      <c r="I14" s="2">
        <v>0.78</v>
      </c>
    </row>
    <row r="15" spans="1:9" ht="15.75" thickBot="1" x14ac:dyDescent="0.3">
      <c r="A15" s="14" t="s">
        <v>79</v>
      </c>
      <c r="B15" s="15" t="s">
        <v>123</v>
      </c>
      <c r="C15" s="16" t="s">
        <v>10</v>
      </c>
      <c r="D15" s="2">
        <v>1</v>
      </c>
      <c r="F15" s="17" t="s">
        <v>83</v>
      </c>
      <c r="G15" s="18" t="s">
        <v>47</v>
      </c>
      <c r="H15" s="19" t="s">
        <v>137</v>
      </c>
      <c r="I15" s="3">
        <v>0.13</v>
      </c>
    </row>
    <row r="16" spans="1:9" x14ac:dyDescent="0.25">
      <c r="A16" s="14" t="s">
        <v>129</v>
      </c>
      <c r="B16" s="15" t="s">
        <v>126</v>
      </c>
      <c r="C16" s="16" t="s">
        <v>10</v>
      </c>
      <c r="D16" s="2">
        <v>0</v>
      </c>
      <c r="F16" s="27"/>
      <c r="G16" s="27"/>
      <c r="H16" s="27"/>
      <c r="I16" s="27"/>
    </row>
    <row r="17" spans="1:9" ht="15.75" thickBot="1" x14ac:dyDescent="0.3">
      <c r="A17" s="17" t="s">
        <v>130</v>
      </c>
      <c r="B17" s="18" t="s">
        <v>125</v>
      </c>
      <c r="C17" s="19" t="s">
        <v>10</v>
      </c>
      <c r="D17" s="3">
        <v>0</v>
      </c>
      <c r="F17" s="7" t="s">
        <v>1</v>
      </c>
      <c r="G17" s="8"/>
      <c r="H17" s="8" t="s">
        <v>2</v>
      </c>
      <c r="I17" s="8" t="s">
        <v>2</v>
      </c>
    </row>
    <row r="18" spans="1:9" ht="15.75" thickBot="1" x14ac:dyDescent="0.3">
      <c r="A18" s="6"/>
      <c r="B18" s="22"/>
      <c r="C18" s="23"/>
      <c r="D18" s="23"/>
      <c r="F18" s="9" t="s">
        <v>3</v>
      </c>
      <c r="G18" s="10" t="s">
        <v>7</v>
      </c>
      <c r="H18" s="10" t="s">
        <v>5</v>
      </c>
      <c r="I18" s="10" t="s">
        <v>6</v>
      </c>
    </row>
    <row r="19" spans="1:9" ht="15.75" thickBot="1" x14ac:dyDescent="0.3">
      <c r="A19" s="24" t="s">
        <v>35</v>
      </c>
      <c r="B19" s="25"/>
      <c r="C19" s="25"/>
      <c r="D19" s="25"/>
      <c r="F19" s="11" t="s">
        <v>11</v>
      </c>
      <c r="G19" s="12" t="s">
        <v>12</v>
      </c>
      <c r="H19" s="13" t="s">
        <v>10</v>
      </c>
      <c r="I19" s="1">
        <v>9</v>
      </c>
    </row>
    <row r="20" spans="1:9" ht="15.75" thickBot="1" x14ac:dyDescent="0.3">
      <c r="A20" s="9" t="s">
        <v>3</v>
      </c>
      <c r="B20" s="10" t="s">
        <v>4</v>
      </c>
      <c r="C20" s="10" t="s">
        <v>5</v>
      </c>
      <c r="D20" s="10" t="s">
        <v>6</v>
      </c>
      <c r="F20" s="14" t="s">
        <v>15</v>
      </c>
      <c r="G20" s="15" t="s">
        <v>16</v>
      </c>
      <c r="H20" s="16" t="s">
        <v>17</v>
      </c>
      <c r="I20" s="2">
        <v>50</v>
      </c>
    </row>
    <row r="21" spans="1:9" ht="15.75" thickBot="1" x14ac:dyDescent="0.3">
      <c r="A21" s="11" t="s">
        <v>200</v>
      </c>
      <c r="B21" s="12" t="s">
        <v>202</v>
      </c>
      <c r="C21" s="28" t="s">
        <v>10</v>
      </c>
      <c r="D21" s="1">
        <v>0</v>
      </c>
      <c r="F21" s="17" t="s">
        <v>127</v>
      </c>
      <c r="G21" s="18" t="s">
        <v>128</v>
      </c>
      <c r="H21" s="19" t="s">
        <v>10</v>
      </c>
      <c r="I21" s="3">
        <v>1</v>
      </c>
    </row>
    <row r="22" spans="1:9" x14ac:dyDescent="0.25">
      <c r="A22" s="11" t="s">
        <v>38</v>
      </c>
      <c r="B22" s="12" t="s">
        <v>39</v>
      </c>
      <c r="C22" s="28" t="s">
        <v>40</v>
      </c>
      <c r="D22" s="1">
        <v>1</v>
      </c>
      <c r="F22" s="8"/>
      <c r="G22" s="8"/>
      <c r="H22" s="8"/>
      <c r="I22" s="8"/>
    </row>
    <row r="23" spans="1:9" ht="15.75" thickBot="1" x14ac:dyDescent="0.3">
      <c r="A23" s="11" t="s">
        <v>113</v>
      </c>
      <c r="B23" s="12" t="s">
        <v>114</v>
      </c>
      <c r="C23" s="28" t="s">
        <v>112</v>
      </c>
      <c r="D23" s="1">
        <v>2.42</v>
      </c>
      <c r="F23" s="20" t="s">
        <v>26</v>
      </c>
      <c r="G23" s="21"/>
      <c r="H23" s="21"/>
      <c r="I23" s="21"/>
    </row>
    <row r="24" spans="1:9" ht="15.75" thickBot="1" x14ac:dyDescent="0.3">
      <c r="A24" s="11" t="s">
        <v>108</v>
      </c>
      <c r="B24" s="12" t="s">
        <v>107</v>
      </c>
      <c r="C24" s="28" t="s">
        <v>10</v>
      </c>
      <c r="D24" s="2" t="s">
        <v>196</v>
      </c>
      <c r="F24" s="9" t="s">
        <v>3</v>
      </c>
      <c r="G24" s="10" t="s">
        <v>7</v>
      </c>
      <c r="H24" s="10" t="s">
        <v>5</v>
      </c>
      <c r="I24" s="10" t="s">
        <v>6</v>
      </c>
    </row>
    <row r="25" spans="1:9" x14ac:dyDescent="0.25">
      <c r="A25" s="11" t="s">
        <v>197</v>
      </c>
      <c r="B25" s="12" t="s">
        <v>198</v>
      </c>
      <c r="C25" s="28" t="s">
        <v>10</v>
      </c>
      <c r="D25" s="2" t="s">
        <v>199</v>
      </c>
      <c r="F25" s="11" t="s">
        <v>27</v>
      </c>
      <c r="G25" s="12" t="s">
        <v>28</v>
      </c>
      <c r="H25" s="13" t="s">
        <v>10</v>
      </c>
      <c r="I25" s="1">
        <v>1</v>
      </c>
    </row>
    <row r="26" spans="1:9" x14ac:dyDescent="0.25">
      <c r="A26" s="14" t="s">
        <v>42</v>
      </c>
      <c r="B26" s="15" t="s">
        <v>203</v>
      </c>
      <c r="C26" s="16" t="s">
        <v>10</v>
      </c>
      <c r="D26" s="2" t="s">
        <v>201</v>
      </c>
      <c r="F26" s="14" t="s">
        <v>31</v>
      </c>
      <c r="G26" s="15" t="s">
        <v>32</v>
      </c>
      <c r="H26" s="16" t="s">
        <v>10</v>
      </c>
      <c r="I26" s="2">
        <v>1</v>
      </c>
    </row>
    <row r="27" spans="1:9" x14ac:dyDescent="0.25">
      <c r="A27" s="25"/>
      <c r="B27" s="25"/>
      <c r="C27" s="25"/>
      <c r="D27" s="25"/>
      <c r="F27" s="14" t="s">
        <v>33</v>
      </c>
      <c r="G27" s="15" t="s">
        <v>34</v>
      </c>
      <c r="H27" s="16" t="s">
        <v>10</v>
      </c>
      <c r="I27" s="2">
        <v>0</v>
      </c>
    </row>
    <row r="28" spans="1:9" ht="15.75" thickBot="1" x14ac:dyDescent="0.3">
      <c r="A28" s="34" t="s">
        <v>51</v>
      </c>
      <c r="B28" s="35"/>
      <c r="C28" s="35"/>
      <c r="D28" s="35"/>
      <c r="F28" s="17" t="s">
        <v>36</v>
      </c>
      <c r="G28" s="18" t="s">
        <v>37</v>
      </c>
      <c r="H28" s="19" t="s">
        <v>137</v>
      </c>
      <c r="I28" s="3">
        <v>1</v>
      </c>
    </row>
    <row r="29" spans="1:9" ht="15.75" thickBot="1" x14ac:dyDescent="0.3">
      <c r="A29" s="9" t="s">
        <v>3</v>
      </c>
      <c r="B29" s="10" t="s">
        <v>7</v>
      </c>
      <c r="C29" s="10" t="s">
        <v>5</v>
      </c>
      <c r="D29" s="10" t="s">
        <v>52</v>
      </c>
      <c r="F29" s="21"/>
      <c r="G29" s="21"/>
      <c r="H29" s="21"/>
      <c r="I29" s="21"/>
    </row>
    <row r="30" spans="1:9" ht="15.75" thickBot="1" x14ac:dyDescent="0.3">
      <c r="A30" s="11" t="s">
        <v>53</v>
      </c>
      <c r="B30" s="12" t="s">
        <v>132</v>
      </c>
      <c r="C30" s="13" t="s">
        <v>137</v>
      </c>
      <c r="D30" s="1">
        <v>3.41</v>
      </c>
      <c r="F30" s="26" t="s">
        <v>41</v>
      </c>
      <c r="G30" s="27"/>
      <c r="H30" s="27"/>
      <c r="I30" s="27"/>
    </row>
    <row r="31" spans="1:9" ht="15.75" thickBot="1" x14ac:dyDescent="0.3">
      <c r="A31" s="14" t="s">
        <v>54</v>
      </c>
      <c r="B31" s="15" t="s">
        <v>81</v>
      </c>
      <c r="C31" s="16" t="s">
        <v>137</v>
      </c>
      <c r="D31" s="2">
        <v>7.01</v>
      </c>
      <c r="F31" s="9" t="s">
        <v>3</v>
      </c>
      <c r="G31" s="10" t="s">
        <v>7</v>
      </c>
      <c r="H31" s="10" t="s">
        <v>5</v>
      </c>
      <c r="I31" s="10" t="s">
        <v>6</v>
      </c>
    </row>
    <row r="32" spans="1:9" x14ac:dyDescent="0.25">
      <c r="A32" s="14" t="s">
        <v>55</v>
      </c>
      <c r="B32" s="15" t="s">
        <v>133</v>
      </c>
      <c r="C32" s="16" t="s">
        <v>137</v>
      </c>
      <c r="D32" s="2">
        <v>-2.42</v>
      </c>
      <c r="F32" s="29" t="s">
        <v>43</v>
      </c>
      <c r="G32" s="12" t="s">
        <v>44</v>
      </c>
      <c r="H32" s="13" t="s">
        <v>10</v>
      </c>
      <c r="I32" s="1">
        <v>1</v>
      </c>
    </row>
    <row r="33" spans="1:9" ht="15.75" thickBot="1" x14ac:dyDescent="0.3">
      <c r="A33" s="14" t="s">
        <v>184</v>
      </c>
      <c r="B33" s="15" t="s">
        <v>134</v>
      </c>
      <c r="C33" s="16" t="s">
        <v>137</v>
      </c>
      <c r="D33" s="2">
        <v>-0.95799999999999996</v>
      </c>
      <c r="F33" s="17" t="s">
        <v>117</v>
      </c>
      <c r="G33" s="18" t="s">
        <v>116</v>
      </c>
      <c r="H33" s="19" t="s">
        <v>10</v>
      </c>
      <c r="I33" s="3">
        <v>1</v>
      </c>
    </row>
    <row r="34" spans="1:9" x14ac:dyDescent="0.25">
      <c r="A34" s="14" t="s">
        <v>56</v>
      </c>
      <c r="B34" s="15" t="s">
        <v>135</v>
      </c>
      <c r="C34" s="16" t="s">
        <v>10</v>
      </c>
      <c r="D34" s="2">
        <v>3</v>
      </c>
    </row>
    <row r="35" spans="1:9" x14ac:dyDescent="0.25">
      <c r="A35" s="14" t="s">
        <v>57</v>
      </c>
      <c r="B35" s="15" t="s">
        <v>136</v>
      </c>
      <c r="C35" s="16" t="s">
        <v>10</v>
      </c>
      <c r="D35" s="2">
        <v>1.5</v>
      </c>
    </row>
    <row r="36" spans="1:9" x14ac:dyDescent="0.25">
      <c r="A36" s="39" t="s">
        <v>85</v>
      </c>
      <c r="B36" s="39" t="s">
        <v>86</v>
      </c>
      <c r="C36" s="45" t="s">
        <v>142</v>
      </c>
      <c r="D36" s="46">
        <v>0</v>
      </c>
    </row>
    <row r="37" spans="1:9" x14ac:dyDescent="0.25">
      <c r="A37" s="14" t="s">
        <v>144</v>
      </c>
      <c r="B37" s="15" t="s">
        <v>143</v>
      </c>
      <c r="C37" s="16" t="s">
        <v>10</v>
      </c>
      <c r="D37" s="2">
        <v>0.4</v>
      </c>
    </row>
    <row r="38" spans="1:9" x14ac:dyDescent="0.25">
      <c r="A38" s="14" t="s">
        <v>87</v>
      </c>
      <c r="B38" s="14" t="s">
        <v>89</v>
      </c>
      <c r="C38" s="16" t="s">
        <v>137</v>
      </c>
      <c r="D38" s="2">
        <v>3.35</v>
      </c>
    </row>
    <row r="39" spans="1:9" ht="15.75" thickBot="1" x14ac:dyDescent="0.3">
      <c r="A39" s="38" t="s">
        <v>88</v>
      </c>
      <c r="B39" s="38" t="s">
        <v>131</v>
      </c>
      <c r="C39" s="43" t="s">
        <v>137</v>
      </c>
      <c r="D39" s="44">
        <v>0.06</v>
      </c>
    </row>
    <row r="40" spans="1:9" x14ac:dyDescent="0.25">
      <c r="A40" s="34"/>
      <c r="B40" s="34"/>
      <c r="C40" s="34"/>
      <c r="D40" s="34"/>
    </row>
    <row r="41" spans="1:9" ht="15.75" thickBot="1" x14ac:dyDescent="0.3">
      <c r="A41" s="36" t="s">
        <v>58</v>
      </c>
      <c r="B41" s="37"/>
      <c r="C41" s="37"/>
      <c r="D41" s="37"/>
    </row>
    <row r="42" spans="1:9" ht="15.75" thickBot="1" x14ac:dyDescent="0.3">
      <c r="A42" s="9" t="s">
        <v>3</v>
      </c>
      <c r="B42" s="10" t="s">
        <v>7</v>
      </c>
      <c r="C42" s="10" t="s">
        <v>5</v>
      </c>
      <c r="D42" s="10" t="s">
        <v>52</v>
      </c>
    </row>
    <row r="43" spans="1:9" x14ac:dyDescent="0.25">
      <c r="A43" s="11" t="s">
        <v>59</v>
      </c>
      <c r="B43" s="12" t="s">
        <v>60</v>
      </c>
      <c r="C43" s="13" t="s">
        <v>10</v>
      </c>
      <c r="D43" s="1">
        <v>1.65</v>
      </c>
    </row>
    <row r="44" spans="1:9" x14ac:dyDescent="0.25">
      <c r="A44" s="14" t="s">
        <v>61</v>
      </c>
      <c r="B44" s="15" t="s">
        <v>62</v>
      </c>
      <c r="C44" s="16" t="s">
        <v>138</v>
      </c>
      <c r="D44" s="2">
        <v>1134</v>
      </c>
    </row>
    <row r="45" spans="1:9" x14ac:dyDescent="0.25">
      <c r="A45" s="14" t="s">
        <v>63</v>
      </c>
      <c r="B45" s="15" t="s">
        <v>64</v>
      </c>
      <c r="C45" s="16" t="s">
        <v>138</v>
      </c>
      <c r="D45" s="2">
        <v>1134</v>
      </c>
    </row>
    <row r="46" spans="1:9" x14ac:dyDescent="0.25">
      <c r="A46" s="14" t="s">
        <v>65</v>
      </c>
      <c r="B46" s="15" t="s">
        <v>66</v>
      </c>
      <c r="C46" s="16" t="s">
        <v>139</v>
      </c>
      <c r="D46" s="2">
        <v>1027</v>
      </c>
    </row>
    <row r="47" spans="1:9" x14ac:dyDescent="0.25">
      <c r="A47" s="14" t="s">
        <v>67</v>
      </c>
      <c r="B47" s="15" t="s">
        <v>68</v>
      </c>
      <c r="C47" s="16" t="s">
        <v>69</v>
      </c>
      <c r="D47" s="2">
        <v>0.4</v>
      </c>
    </row>
    <row r="48" spans="1:9" x14ac:dyDescent="0.25">
      <c r="A48" s="14" t="s">
        <v>70</v>
      </c>
      <c r="B48" s="15" t="s">
        <v>71</v>
      </c>
      <c r="C48" s="16" t="s">
        <v>10</v>
      </c>
      <c r="D48" s="2">
        <v>1</v>
      </c>
    </row>
    <row r="49" spans="1:4" x14ac:dyDescent="0.25">
      <c r="A49" s="14" t="s">
        <v>72</v>
      </c>
      <c r="B49" s="15" t="s">
        <v>73</v>
      </c>
      <c r="C49" s="16" t="s">
        <v>10</v>
      </c>
      <c r="D49" s="2">
        <v>1</v>
      </c>
    </row>
    <row r="50" spans="1:4" x14ac:dyDescent="0.25">
      <c r="A50" s="14" t="s">
        <v>74</v>
      </c>
      <c r="B50" s="15" t="s">
        <v>75</v>
      </c>
      <c r="C50" s="16" t="s">
        <v>10</v>
      </c>
      <c r="D50" s="2">
        <v>1</v>
      </c>
    </row>
    <row r="51" spans="1:4" x14ac:dyDescent="0.25">
      <c r="A51" s="39" t="s">
        <v>76</v>
      </c>
      <c r="B51" s="40" t="s">
        <v>77</v>
      </c>
      <c r="C51" s="41" t="s">
        <v>10</v>
      </c>
      <c r="D51" s="42">
        <v>1</v>
      </c>
    </row>
    <row r="52" spans="1:4" ht="30.75" thickBot="1" x14ac:dyDescent="0.3">
      <c r="A52" s="18" t="s">
        <v>84</v>
      </c>
      <c r="B52" s="48" t="s">
        <v>90</v>
      </c>
      <c r="C52" s="19" t="s">
        <v>10</v>
      </c>
      <c r="D52" s="4">
        <v>2</v>
      </c>
    </row>
    <row r="53" spans="1:4" x14ac:dyDescent="0.25">
      <c r="A53" s="37"/>
      <c r="B53" s="37"/>
      <c r="C53" s="37"/>
      <c r="D53" s="37"/>
    </row>
    <row r="59" spans="1:4" x14ac:dyDescent="0.25">
      <c r="C59" s="64"/>
    </row>
    <row r="60" spans="1:4" ht="15.75" thickBot="1" x14ac:dyDescent="0.3">
      <c r="C60" s="63"/>
    </row>
    <row r="66" spans="2:2" x14ac:dyDescent="0.25">
      <c r="B66" s="47"/>
    </row>
  </sheetData>
  <sheetProtection formatColumns="0" selectLockedCells="1"/>
  <protectedRanges>
    <protectedRange sqref="I3:I6 I8 I12:I16 I25:I28 D15:D17 I32 D22:D23 I19:I20 D3:D6 D8:D11 D13" name="Range1_1"/>
    <protectedRange sqref="D7 D14" name="Range1_1_1"/>
    <protectedRange sqref="D37 D30:D35" name="Range1_1_3"/>
    <protectedRange sqref="D43:D52" name="Range1_1_4"/>
    <protectedRange sqref="D12" name="Range1_1_2"/>
    <protectedRange sqref="D24" name="Range1_1_6_1"/>
    <protectedRange sqref="D25" name="Range1_1_5"/>
    <protectedRange sqref="D21" name="Range1_1_6"/>
    <protectedRange sqref="D26" name="Range1_1_8"/>
  </protectedRange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05AA9-AA83-414A-9BCA-9A7F3A47A337}">
  <dimension ref="A1:G54"/>
  <sheetViews>
    <sheetView topLeftCell="A10" zoomScale="130" zoomScaleNormal="130" workbookViewId="0">
      <selection activeCell="D53" sqref="D53"/>
    </sheetView>
  </sheetViews>
  <sheetFormatPr defaultRowHeight="15" x14ac:dyDescent="0.25"/>
  <cols>
    <col min="1" max="1" width="29.140625" bestFit="1" customWidth="1"/>
    <col min="2" max="2" width="26.85546875" bestFit="1" customWidth="1"/>
    <col min="3" max="3" width="31.28515625" bestFit="1" customWidth="1"/>
    <col min="4" max="4" width="19" customWidth="1"/>
    <col min="5" max="5" width="34.140625" bestFit="1" customWidth="1"/>
    <col min="6" max="6" width="11.42578125" customWidth="1"/>
  </cols>
  <sheetData>
    <row r="1" spans="1:5" x14ac:dyDescent="0.25">
      <c r="A1" t="s">
        <v>186</v>
      </c>
      <c r="B1" t="s">
        <v>191</v>
      </c>
      <c r="C1" t="s">
        <v>145</v>
      </c>
      <c r="D1" t="s">
        <v>158</v>
      </c>
      <c r="E1" t="s">
        <v>78</v>
      </c>
    </row>
    <row r="3" spans="1:5" x14ac:dyDescent="0.25">
      <c r="A3" t="s">
        <v>185</v>
      </c>
      <c r="B3" t="s">
        <v>166</v>
      </c>
    </row>
    <row r="4" spans="1:5" x14ac:dyDescent="0.25">
      <c r="A4" s="50" t="s">
        <v>159</v>
      </c>
      <c r="B4" t="s">
        <v>167</v>
      </c>
      <c r="C4" t="s">
        <v>168</v>
      </c>
    </row>
    <row r="5" spans="1:5" x14ac:dyDescent="0.25">
      <c r="A5" s="50" t="s">
        <v>160</v>
      </c>
      <c r="B5" t="s">
        <v>173</v>
      </c>
      <c r="C5" t="s">
        <v>180</v>
      </c>
    </row>
    <row r="6" spans="1:5" x14ac:dyDescent="0.25">
      <c r="A6" s="50" t="s">
        <v>161</v>
      </c>
      <c r="B6" t="s">
        <v>174</v>
      </c>
      <c r="C6" t="s">
        <v>180</v>
      </c>
    </row>
    <row r="7" spans="1:5" x14ac:dyDescent="0.25">
      <c r="A7" s="50" t="s">
        <v>162</v>
      </c>
      <c r="B7" t="s">
        <v>175</v>
      </c>
      <c r="C7" t="s">
        <v>180</v>
      </c>
    </row>
    <row r="8" spans="1:5" x14ac:dyDescent="0.25">
      <c r="A8" s="50" t="s">
        <v>163</v>
      </c>
      <c r="B8" t="s">
        <v>179</v>
      </c>
      <c r="C8" t="s">
        <v>78</v>
      </c>
    </row>
    <row r="9" spans="1:5" x14ac:dyDescent="0.25">
      <c r="A9" s="50" t="s">
        <v>164</v>
      </c>
      <c r="B9" t="s">
        <v>176</v>
      </c>
      <c r="C9" t="s">
        <v>180</v>
      </c>
    </row>
    <row r="10" spans="1:5" x14ac:dyDescent="0.25">
      <c r="B10" t="s">
        <v>177</v>
      </c>
      <c r="C10" t="s">
        <v>180</v>
      </c>
    </row>
    <row r="11" spans="1:5" x14ac:dyDescent="0.25">
      <c r="B11" t="s">
        <v>178</v>
      </c>
      <c r="C11" t="s">
        <v>180</v>
      </c>
    </row>
    <row r="12" spans="1:5" x14ac:dyDescent="0.25">
      <c r="B12" t="s">
        <v>169</v>
      </c>
      <c r="C12" t="s">
        <v>170</v>
      </c>
    </row>
    <row r="13" spans="1:5" x14ac:dyDescent="0.25">
      <c r="B13" t="s">
        <v>171</v>
      </c>
      <c r="C13" t="s">
        <v>172</v>
      </c>
    </row>
    <row r="15" spans="1:5" ht="15.75" thickBot="1" x14ac:dyDescent="0.3"/>
    <row r="16" spans="1:5" ht="15.75" thickBot="1" x14ac:dyDescent="0.3">
      <c r="A16" s="54" t="s">
        <v>146</v>
      </c>
      <c r="B16" s="54" t="s">
        <v>4</v>
      </c>
      <c r="C16" s="54" t="s">
        <v>154</v>
      </c>
      <c r="D16" s="58" t="s">
        <v>157</v>
      </c>
    </row>
    <row r="17" spans="1:7" x14ac:dyDescent="0.25">
      <c r="A17" s="55">
        <v>0</v>
      </c>
      <c r="B17" s="55" t="s">
        <v>147</v>
      </c>
      <c r="C17" s="59">
        <v>0.66720000000000002</v>
      </c>
      <c r="D17" s="62">
        <f>C17/60</f>
        <v>1.112E-2</v>
      </c>
    </row>
    <row r="18" spans="1:7" x14ac:dyDescent="0.25">
      <c r="A18" s="56">
        <f>A17+1</f>
        <v>1</v>
      </c>
      <c r="B18" s="56" t="s">
        <v>148</v>
      </c>
      <c r="C18" s="60">
        <v>128.0189</v>
      </c>
      <c r="D18" s="60">
        <f>C18/60</f>
        <v>2.1336483333333334</v>
      </c>
      <c r="E18" t="s">
        <v>156</v>
      </c>
    </row>
    <row r="19" spans="1:7" x14ac:dyDescent="0.25">
      <c r="A19" s="56">
        <f t="shared" ref="A19:A23" si="0">A18+1</f>
        <v>2</v>
      </c>
      <c r="B19" s="56" t="s">
        <v>149</v>
      </c>
      <c r="C19" s="60">
        <v>1.8109999999999999</v>
      </c>
      <c r="D19" s="60">
        <f t="shared" ref="D19:D24" si="1">C19/60</f>
        <v>3.0183333333333333E-2</v>
      </c>
    </row>
    <row r="20" spans="1:7" x14ac:dyDescent="0.25">
      <c r="A20" s="56">
        <f t="shared" si="0"/>
        <v>3</v>
      </c>
      <c r="B20" s="56" t="s">
        <v>150</v>
      </c>
      <c r="C20" s="60">
        <v>0.56489999999999996</v>
      </c>
      <c r="D20" s="60">
        <f t="shared" si="1"/>
        <v>9.4149999999999998E-3</v>
      </c>
    </row>
    <row r="21" spans="1:7" x14ac:dyDescent="0.25">
      <c r="A21" s="56">
        <f t="shared" si="0"/>
        <v>4</v>
      </c>
      <c r="B21" s="56" t="s">
        <v>151</v>
      </c>
      <c r="C21" s="60">
        <v>1.2150000000000001</v>
      </c>
      <c r="D21" s="60">
        <f t="shared" si="1"/>
        <v>2.0250000000000001E-2</v>
      </c>
    </row>
    <row r="22" spans="1:7" x14ac:dyDescent="0.25">
      <c r="A22" s="56">
        <f t="shared" si="0"/>
        <v>5</v>
      </c>
      <c r="B22" s="56" t="s">
        <v>152</v>
      </c>
      <c r="C22" s="60">
        <v>15.2134</v>
      </c>
      <c r="D22" s="60">
        <f t="shared" si="1"/>
        <v>0.25355666666666665</v>
      </c>
    </row>
    <row r="23" spans="1:7" ht="15.75" thickBot="1" x14ac:dyDescent="0.3">
      <c r="A23" s="57">
        <f t="shared" si="0"/>
        <v>6</v>
      </c>
      <c r="B23" s="57" t="s">
        <v>153</v>
      </c>
      <c r="C23" s="61">
        <v>648.27599999999995</v>
      </c>
      <c r="D23" s="61">
        <f t="shared" si="1"/>
        <v>10.804599999999999</v>
      </c>
      <c r="E23" s="8">
        <f>D23/4</f>
        <v>2.7011499999999997</v>
      </c>
      <c r="F23" s="51">
        <f>E23/7</f>
        <v>0.3858785714285714</v>
      </c>
      <c r="G23" t="s">
        <v>183</v>
      </c>
    </row>
    <row r="24" spans="1:7" ht="15.75" thickBot="1" x14ac:dyDescent="0.3">
      <c r="A24" s="65" t="s">
        <v>155</v>
      </c>
      <c r="B24" s="66"/>
      <c r="C24" s="52">
        <f>SUM(C17:C23)</f>
        <v>795.76639999999998</v>
      </c>
      <c r="D24" s="53">
        <f t="shared" si="1"/>
        <v>13.262773333333334</v>
      </c>
      <c r="F24" s="51">
        <f>F23*60</f>
        <v>23.152714285714286</v>
      </c>
      <c r="G24" t="s">
        <v>182</v>
      </c>
    </row>
    <row r="28" spans="1:7" x14ac:dyDescent="0.25">
      <c r="E28" s="8"/>
      <c r="F28" t="s">
        <v>165</v>
      </c>
    </row>
    <row r="29" spans="1:7" x14ac:dyDescent="0.25">
      <c r="E29" s="51"/>
      <c r="F29" t="s">
        <v>181</v>
      </c>
    </row>
    <row r="31" spans="1:7" x14ac:dyDescent="0.25">
      <c r="A31" t="s">
        <v>186</v>
      </c>
      <c r="B31" t="s">
        <v>190</v>
      </c>
      <c r="C31" t="s">
        <v>192</v>
      </c>
      <c r="D31" t="s">
        <v>158</v>
      </c>
      <c r="E31" t="s">
        <v>78</v>
      </c>
    </row>
    <row r="33" spans="1:7" x14ac:dyDescent="0.25">
      <c r="A33" t="s">
        <v>185</v>
      </c>
      <c r="B33" t="s">
        <v>166</v>
      </c>
    </row>
    <row r="34" spans="1:7" x14ac:dyDescent="0.25">
      <c r="A34" s="50" t="s">
        <v>187</v>
      </c>
      <c r="B34" t="s">
        <v>167</v>
      </c>
      <c r="C34" t="s">
        <v>168</v>
      </c>
    </row>
    <row r="35" spans="1:7" x14ac:dyDescent="0.25">
      <c r="A35" s="50" t="s">
        <v>188</v>
      </c>
      <c r="B35" t="s">
        <v>173</v>
      </c>
      <c r="C35" t="s">
        <v>180</v>
      </c>
    </row>
    <row r="36" spans="1:7" x14ac:dyDescent="0.25">
      <c r="A36" s="50" t="s">
        <v>189</v>
      </c>
      <c r="B36" t="s">
        <v>174</v>
      </c>
      <c r="C36" t="s">
        <v>180</v>
      </c>
    </row>
    <row r="37" spans="1:7" x14ac:dyDescent="0.25">
      <c r="A37" s="50" t="s">
        <v>162</v>
      </c>
      <c r="B37" t="s">
        <v>175</v>
      </c>
      <c r="C37" t="s">
        <v>180</v>
      </c>
    </row>
    <row r="38" spans="1:7" x14ac:dyDescent="0.25">
      <c r="A38" s="50" t="s">
        <v>163</v>
      </c>
      <c r="B38" t="s">
        <v>179</v>
      </c>
      <c r="C38" t="s">
        <v>78</v>
      </c>
    </row>
    <row r="39" spans="1:7" x14ac:dyDescent="0.25">
      <c r="B39" t="s">
        <v>176</v>
      </c>
      <c r="C39" t="s">
        <v>180</v>
      </c>
    </row>
    <row r="40" spans="1:7" x14ac:dyDescent="0.25">
      <c r="B40" t="s">
        <v>177</v>
      </c>
      <c r="C40" t="s">
        <v>180</v>
      </c>
    </row>
    <row r="41" spans="1:7" x14ac:dyDescent="0.25">
      <c r="B41" t="s">
        <v>178</v>
      </c>
      <c r="C41" t="s">
        <v>180</v>
      </c>
    </row>
    <row r="42" spans="1:7" x14ac:dyDescent="0.25">
      <c r="B42" t="s">
        <v>169</v>
      </c>
      <c r="C42" t="s">
        <v>170</v>
      </c>
    </row>
    <row r="43" spans="1:7" x14ac:dyDescent="0.25">
      <c r="B43" t="s">
        <v>171</v>
      </c>
      <c r="C43" t="s">
        <v>172</v>
      </c>
    </row>
    <row r="45" spans="1:7" ht="15.75" thickBot="1" x14ac:dyDescent="0.3"/>
    <row r="46" spans="1:7" ht="15.75" thickBot="1" x14ac:dyDescent="0.3">
      <c r="A46" s="54" t="s">
        <v>146</v>
      </c>
      <c r="B46" s="54" t="s">
        <v>4</v>
      </c>
      <c r="C46" s="54" t="s">
        <v>154</v>
      </c>
      <c r="D46" s="58" t="s">
        <v>157</v>
      </c>
    </row>
    <row r="47" spans="1:7" x14ac:dyDescent="0.25">
      <c r="A47" s="55">
        <v>0</v>
      </c>
      <c r="B47" s="55" t="s">
        <v>147</v>
      </c>
      <c r="C47" s="59">
        <v>0.66720000000000002</v>
      </c>
      <c r="D47" s="62">
        <f>C47/60</f>
        <v>1.112E-2</v>
      </c>
      <c r="F47" t="s">
        <v>193</v>
      </c>
    </row>
    <row r="48" spans="1:7" x14ac:dyDescent="0.25">
      <c r="A48" s="56">
        <f>A47+1</f>
        <v>1</v>
      </c>
      <c r="B48" s="56" t="s">
        <v>148</v>
      </c>
      <c r="C48" s="60">
        <v>128.0189</v>
      </c>
      <c r="D48" s="60">
        <f>C48/60</f>
        <v>2.1336483333333334</v>
      </c>
      <c r="E48" t="s">
        <v>156</v>
      </c>
      <c r="F48" t="s">
        <v>154</v>
      </c>
      <c r="G48" t="s">
        <v>157</v>
      </c>
    </row>
    <row r="49" spans="1:7" x14ac:dyDescent="0.25">
      <c r="A49" s="56">
        <f t="shared" ref="A49:A53" si="2">A48+1</f>
        <v>2</v>
      </c>
      <c r="B49" s="56" t="s">
        <v>149</v>
      </c>
      <c r="C49" s="60">
        <v>77.920665999999997</v>
      </c>
      <c r="D49" s="60">
        <f t="shared" ref="D49:D54" si="3">C49/60</f>
        <v>1.2986777666666667</v>
      </c>
      <c r="F49" s="60">
        <v>15</v>
      </c>
      <c r="G49" s="60">
        <f t="shared" ref="G49" si="4">F49/60</f>
        <v>0.25</v>
      </c>
    </row>
    <row r="50" spans="1:7" x14ac:dyDescent="0.25">
      <c r="A50" s="56">
        <f t="shared" si="2"/>
        <v>3</v>
      </c>
      <c r="B50" s="56" t="s">
        <v>150</v>
      </c>
      <c r="C50" s="60">
        <v>0.56489999999999996</v>
      </c>
      <c r="D50" s="60">
        <f t="shared" si="3"/>
        <v>9.4149999999999998E-3</v>
      </c>
    </row>
    <row r="51" spans="1:7" x14ac:dyDescent="0.25">
      <c r="A51" s="56">
        <f t="shared" si="2"/>
        <v>4</v>
      </c>
      <c r="B51" s="56" t="s">
        <v>151</v>
      </c>
      <c r="C51" s="60">
        <v>2.6115067000000001</v>
      </c>
      <c r="D51" s="60">
        <f t="shared" si="3"/>
        <v>4.3525111666666665E-2</v>
      </c>
    </row>
    <row r="52" spans="1:7" x14ac:dyDescent="0.25">
      <c r="A52" s="56">
        <f t="shared" si="2"/>
        <v>5</v>
      </c>
      <c r="B52" s="56" t="s">
        <v>152</v>
      </c>
      <c r="C52" s="60">
        <v>32.553324799999999</v>
      </c>
      <c r="D52" s="60">
        <f t="shared" si="3"/>
        <v>0.54255541333333335</v>
      </c>
    </row>
    <row r="53" spans="1:7" ht="15.75" thickBot="1" x14ac:dyDescent="0.3">
      <c r="A53" s="57">
        <f t="shared" si="2"/>
        <v>6</v>
      </c>
      <c r="B53" s="57" t="s">
        <v>153</v>
      </c>
      <c r="C53" s="61">
        <v>197.9727273</v>
      </c>
      <c r="D53" s="61">
        <f t="shared" si="3"/>
        <v>3.2995454550000001</v>
      </c>
    </row>
    <row r="54" spans="1:7" ht="15.75" thickBot="1" x14ac:dyDescent="0.3">
      <c r="A54" s="65" t="s">
        <v>155</v>
      </c>
      <c r="B54" s="66"/>
      <c r="C54" s="52">
        <f>SUM(C47:C53)</f>
        <v>440.30922480000004</v>
      </c>
      <c r="D54" s="53">
        <f t="shared" si="3"/>
        <v>7.3384870800000011</v>
      </c>
    </row>
  </sheetData>
  <mergeCells count="2">
    <mergeCell ref="A24:B24"/>
    <mergeCell ref="A54:B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James_Island_Midbay</vt:lpstr>
      <vt:lpstr>TIming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Garcia</dc:creator>
  <cp:lastModifiedBy>Fabian Garcia</cp:lastModifiedBy>
  <dcterms:created xsi:type="dcterms:W3CDTF">2022-11-28T20:23:20Z</dcterms:created>
  <dcterms:modified xsi:type="dcterms:W3CDTF">2023-08-02T19:10:19Z</dcterms:modified>
</cp:coreProperties>
</file>