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HC_QAQC_NACCS\"/>
    </mc:Choice>
  </mc:AlternateContent>
  <xr:revisionPtr revIDLastSave="0" documentId="13_ncr:1_{7938099F-FCCF-4213-9243-72DC3A6868D3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<sst xmlns="http://schemas.openxmlformats.org/spreadsheetml/2006/main" count="399" uniqueCount="248">
  <si>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</si>
  <si>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</si>
  <si>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</si>
  <si>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</si>
  <si>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</si>
  <si>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</si>
  <si>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</si>
  <si>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</si>
  <si>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</si>
  <si>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</si>
  <si>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</si>
  <si>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</si>
  <si>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</si>
  <si>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</si>
  <si>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</si>
  <si>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</si>
  <si>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</si>
  <si>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</si>
  <si>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</si>
  <si>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</si>
  <si>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</si>
  <si>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</si>
  <si>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</si>
  <si>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</si>
  <si>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</si>
  <si>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</si>
  <si>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</si>
  <si>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</si>
  <si>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</si>
  <si>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</si>
  <si>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</si>
  <si>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</si>
  <si>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</si>
  <si>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</si>
  <si>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</si>
  <si>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</si>
  <si>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</si>
  <si>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</si>
  <si>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</si>
  <si>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</si>
  <si>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</si>
  <si>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</si>
  <si>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</si>
  <si>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</si>
  <si>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</si>
  <si>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</si>
  <si>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</si>
  <si>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</si>
  <si>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</si>
  <si>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</si>
  <si>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Structure Geometry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</si>
  <si>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</si>
  <si>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</si>
  <si>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</si>
  <si>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</si>
  <si>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</si>
  <si>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</si>
  <si>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</si>
  <si>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</si>
  <si>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</si>
  <si>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</si>
  <si>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</si>
  <si>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</si>
  <si>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</si>
  <si>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</si>
  <si>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</si>
  <si>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</si>
  <si>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</si>
  <si>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</si>
  <si>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</si>
  <si>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</si>
  <si>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</si>
  <si>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</si>
  <si>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</si>
  <si>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</si>
  <si>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</si>
  <si>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</si>
  <si>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</si>
  <si>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</si>
  <si>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</si>
  <si>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</si>
  <si>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</si>
  <si>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</si>
  <si>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</si>
  <si>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</si>
  <si>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</si>
  <si>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</si>
  <si>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</si>
  <si>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</si>
  <si>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</si>
  <si>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</si>
  <si>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</si>
  <si>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</si>
  <si>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</si>
  <si>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</si>
  <si>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</si>
  <si>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</si>
  <si>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</si>
  <si>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</si>
  <si>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</si>
  <si>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</si>
  <si>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</si>
  <si>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</si>
  <si>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</si>
  <si>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chs_bias_file</t>
  </si>
  <si>
    <t>tide_file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</si>
  <si>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</si>
  <si>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</si>
  <si>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</si>
  <si>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</si>
  <si>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</si>
  <si>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</si>
  <si>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</si>
  <si>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</si>
  <si>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</si>
  <si>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</si>
  <si>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use_peaks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</si>
  <si>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</si>
  <si>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</si>
  <si>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</si>
  <si>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</si>
  <si>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</si>
  <si>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</si>
  <si>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</si>
  <si>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</si>
  <si>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</si>
  <si>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</si>
  <si>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</si>
  <si>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</si>
  <si>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</si>
  <si>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</si>
  <si>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</si>
  <si>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</si>
  <si>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</si>
  <si>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</si>
  <si>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</si>
  <si>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</si>
  <si>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</si>
  <si>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</si>
  <si>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</si>
  <si>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</si>
  <si>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</si>
  <si>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</si>
  <si>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</si>
  <si>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</si>
  <si>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</si>
  <si>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</si>
  <si>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</si>
  <si>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</si>
  <si>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</si>
  <si>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</si>
  <si>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</si>
  <si>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</si>
  <si>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</si>
  <si>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</si>
  <si>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</si>
  <si>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</si>
  <si>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</si>
  <si>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</si>
  <si>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</si>
  <si>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</si>
  <si>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</si>
  <si>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</si>
  <si>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</si>
  <si>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</si>
  <si>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</si>
  <si>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</si>
  <si>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</si>
  <si>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</si>
  <si>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</si>
  <si>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</si>
  <si>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</si>
  <si>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</si>
  <si>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</si>
  <si>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</si>
  <si>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</si>
  <si>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</si>
  <si>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</si>
  <si>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</si>
  <si>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</si>
  <si>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</si>
  <si>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</si>
  <si>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</si>
  <si>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</si>
  <si>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prob_mass_source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</si>
  <si>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</si>
  <si>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</si>
  <si>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</si>
  <si>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</si>
  <si>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</si>
  <si>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 xml:space="preserve">With and without Tides </t>
  </si>
  <si>
    <t>RB vs FB</t>
  </si>
  <si>
    <t xml:space="preserve">CHS vs StormSim </t>
  </si>
  <si>
    <t>SST/JPM old vs SST/JPM New</t>
  </si>
  <si>
    <t>pros_dn50_seaside</t>
  </si>
  <si>
    <t>pros_dn50_leeside</t>
  </si>
  <si>
    <t>pros_dn50_lcbw</t>
  </si>
  <si>
    <t>pros_r2p</t>
  </si>
  <si>
    <t>pros_q</t>
  </si>
  <si>
    <t>pros_p1</t>
  </si>
  <si>
    <t>pros_p2_p3</t>
  </si>
  <si>
    <t>pros_nappe</t>
  </si>
  <si>
    <t>Compute Seaward Median Stone Size Response (Momentum Flux)</t>
  </si>
  <si>
    <t>Compute Landward Median Stone Size Response (Van Gent)</t>
  </si>
  <si>
    <t>Compute Seaward Median Stone Size Response (Low Crested Breakwater)</t>
  </si>
  <si>
    <t>Compute Run-up Response (Eurotop)</t>
  </si>
  <si>
    <t>Compute Overtopping Discharge Rate per Unit Width Response (Eurotop)</t>
  </si>
  <si>
    <t>Compute Surface Pressure Response (Goda)</t>
  </si>
  <si>
    <t>Compute P2 &amp; P3 Responses (Goda)</t>
  </si>
  <si>
    <t xml:space="preserve">Compute Nappe Responses </t>
  </si>
  <si>
    <t>use_waves_swl</t>
  </si>
  <si>
    <t>James_Island</t>
  </si>
  <si>
    <t>SP_2243</t>
  </si>
  <si>
    <t>pros_q_vol</t>
  </si>
  <si>
    <t>Compute Overtopping Discharge Volume Unit Width Response (Eurotop) (RB3 Only)</t>
  </si>
  <si>
    <t>lcbw_mass</t>
  </si>
  <si>
    <t>Low Crested Breakwater Seaside Mass</t>
  </si>
  <si>
    <t>Apply random tide to storm SWL (0 - Off / 1 - On)</t>
  </si>
  <si>
    <t>Apply Depth Limitation To Waves  (0 - Off / 1 - On)</t>
  </si>
  <si>
    <t>Include forcing peaks files as part of the analysis.  (0 - Off / 1 - On)</t>
  </si>
  <si>
    <t>Include forcing timeseries files as part of the analysis.  (0 - Off / 1 - On)</t>
  </si>
  <si>
    <t>Grab SWL hydrograph from wave model  (0 - Off / 1 - On)</t>
  </si>
  <si>
    <t>Create Water Level Priority Peaks Dataset (WLP)  (0 - Off / 1 - On). (Requires peaks and timeseries files)</t>
  </si>
  <si>
    <t>Create Wave Height Priority Peaks Dataset (WLP)  (0 - Off / 1 - On). (Requires peaks and timeseries files)</t>
  </si>
  <si>
    <t>CHS Region Bias File (Relative Path)</t>
  </si>
  <si>
    <t>Tidal file used to randomly sample tidal values for storm SWL. (Relative Path)</t>
  </si>
  <si>
    <t>Probability Masses (CHS -&gt; MCSim_Inputs folder relative path, Custom Modeling -&gt; .mat filename with relative path)</t>
  </si>
  <si>
    <t>Load project_forcing StormSim File From Other case_name Under The Same project_name (0- Sample New Storms/1-Load Previous Storm Suite)</t>
  </si>
  <si>
    <t>Define Reference case_name To Load project_forcing From</t>
  </si>
  <si>
    <t>Levee_Case_2</t>
  </si>
  <si>
    <t>load_project_forcing</t>
  </si>
  <si>
    <t>ref_case_name</t>
  </si>
  <si>
    <t>Levee_Case_5</t>
  </si>
  <si>
    <t>Midbay_CHS_Data.zip</t>
  </si>
  <si>
    <t>MCSim_Inputs\NACCS</t>
  </si>
  <si>
    <t>outfolder</t>
  </si>
  <si>
    <t>StormSim Project output folder.</t>
  </si>
  <si>
    <t>pros_plot_hc</t>
  </si>
  <si>
    <t>Plot individual responses hazard curves (0 - Off, 1 - On)</t>
  </si>
  <si>
    <t>pros_plot_forcing_hc_w_pot</t>
  </si>
  <si>
    <t>Plot forcing hazard curves with corresponding POT sample (0 - Off, 1 - On)</t>
  </si>
  <si>
    <t>pros_plot_prioty_comp</t>
  </si>
  <si>
    <t>Plot RB1 priority datasets responses comparison (0 - Off, 1 - On)</t>
  </si>
  <si>
    <t>pros_plot_hc_xsec</t>
  </si>
  <si>
    <t>Plot hazard curve cross section plots (0 - Off, 1 - On)</t>
  </si>
  <si>
    <t>StormSim_PROS_Outputs</t>
  </si>
  <si>
    <t>apply_xc_bias</t>
  </si>
  <si>
    <t>Apply Bias Correction To Extratropical Stomrs  (0 - Off / 1 - 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</si>
</sst>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0" fillId="0" borderId="22" xfId="0" applyBorder="1"/>
    <xf numFmtId="0" fontId="0" fillId="0" borderId="20" xfId="0" applyBorder="1" applyAlignment="1">
      <alignment horizontal="left" vertical="center"/>
    </xf>
    <xf numFmtId="0" fontId="0" fillId="0" borderId="20" xfId="0" applyBorder="1" applyAlignment="1">
      <alignment horizontal="center" vertical="center"/>
    </xf>
    <xf numFmtId="0" fontId="0" fillId="0" borderId="20" xfId="0" applyBorder="1" applyAlignment="1" applyProtection="1">
      <alignment horizontal="center" vertical="center"/>
      <protection locked="0"/>
    </xf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3"/>
  <sheetViews>
    <sheetView tabSelected="1" zoomScaleNormal="100" workbookViewId="0">
      <selection activeCell="A15" sqref="A15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84.28515625" bestFit="1" customWidth="1"/>
    <col min="8" max="8" width="46.140625" customWidth="1"/>
    <col min="9" max="9" width="13.5703125" bestFit="1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211</v>
      </c>
      <c r="F3" s="49" t="s">
        <v>95</v>
      </c>
      <c r="G3" s="49" t="s">
        <v>88</v>
      </c>
      <c r="H3" s="13" t="s">
        <v>127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212</v>
      </c>
      <c r="F4" s="49" t="s">
        <v>96</v>
      </c>
      <c r="G4" s="49" t="s">
        <v>89</v>
      </c>
      <c r="H4" s="13" t="s">
        <v>10</v>
      </c>
      <c r="I4" s="13">
        <v>0.38219999999999998</v>
      </c>
    </row>
    <row r="5" spans="1:9" x14ac:dyDescent="0.25">
      <c r="A5" s="14" t="s">
        <v>113</v>
      </c>
      <c r="B5" s="15" t="s">
        <v>114</v>
      </c>
      <c r="C5" s="16" t="s">
        <v>10</v>
      </c>
      <c r="D5" s="2" t="s">
        <v>232</v>
      </c>
      <c r="F5" s="49" t="s">
        <v>98</v>
      </c>
      <c r="G5" s="49" t="s">
        <v>90</v>
      </c>
      <c r="H5" s="13" t="s">
        <v>127</v>
      </c>
      <c r="I5" s="13">
        <v>0.3</v>
      </c>
    </row>
    <row r="6" spans="1:9" x14ac:dyDescent="0.25">
      <c r="A6" s="14" t="s">
        <v>235</v>
      </c>
      <c r="B6" s="15" t="s">
        <v>236</v>
      </c>
      <c r="C6" s="16" t="s">
        <v>10</v>
      </c>
      <c r="D6" s="2" t="s">
        <v>245</v>
      </c>
      <c r="F6" s="49" t="s">
        <v>97</v>
      </c>
      <c r="G6" s="49" t="s">
        <v>91</v>
      </c>
      <c r="H6" s="13" t="s">
        <v>10</v>
      </c>
      <c r="I6" s="13">
        <v>0.3</v>
      </c>
    </row>
    <row r="7" spans="1:9" x14ac:dyDescent="0.25">
      <c r="A7" s="14" t="s">
        <v>20</v>
      </c>
      <c r="B7" s="15" t="s">
        <v>21</v>
      </c>
      <c r="C7" s="16" t="s">
        <v>10</v>
      </c>
      <c r="D7" s="2" t="s">
        <v>106</v>
      </c>
      <c r="F7" s="14" t="s">
        <v>99</v>
      </c>
      <c r="G7" s="15" t="s">
        <v>93</v>
      </c>
      <c r="H7" s="16" t="s">
        <v>132</v>
      </c>
      <c r="I7" s="2">
        <v>0</v>
      </c>
    </row>
    <row r="8" spans="1:9" ht="15.75" thickBot="1" x14ac:dyDescent="0.3">
      <c r="A8" s="14" t="s">
        <v>29</v>
      </c>
      <c r="B8" s="15" t="s">
        <v>30</v>
      </c>
      <c r="C8" s="16" t="s">
        <v>10</v>
      </c>
      <c r="D8" s="2" t="s">
        <v>110</v>
      </c>
      <c r="F8" s="17" t="s">
        <v>94</v>
      </c>
      <c r="G8" s="18" t="s">
        <v>92</v>
      </c>
      <c r="H8" s="19" t="s">
        <v>127</v>
      </c>
      <c r="I8" s="3">
        <v>0</v>
      </c>
    </row>
    <row r="9" spans="1:9" x14ac:dyDescent="0.25">
      <c r="A9" s="14" t="s">
        <v>115</v>
      </c>
      <c r="B9" s="15" t="s">
        <v>188</v>
      </c>
      <c r="C9" s="16" t="s">
        <v>10</v>
      </c>
      <c r="D9" s="2">
        <v>1</v>
      </c>
      <c r="F9" s="33"/>
      <c r="G9" s="33"/>
      <c r="H9" s="33"/>
      <c r="I9" s="33"/>
    </row>
    <row r="10" spans="1:9" ht="15.75" thickBot="1" x14ac:dyDescent="0.3">
      <c r="A10" s="14" t="s">
        <v>18</v>
      </c>
      <c r="B10" s="15" t="s">
        <v>19</v>
      </c>
      <c r="C10" s="16" t="s">
        <v>10</v>
      </c>
      <c r="D10" s="2">
        <v>3</v>
      </c>
      <c r="F10" s="26" t="s">
        <v>100</v>
      </c>
      <c r="G10" s="27"/>
      <c r="H10" s="27"/>
      <c r="I10" s="27"/>
    </row>
    <row r="11" spans="1:9" ht="15.75" thickBot="1" x14ac:dyDescent="0.3">
      <c r="A11" s="14" t="s">
        <v>22</v>
      </c>
      <c r="B11" s="15" t="s">
        <v>23</v>
      </c>
      <c r="C11" s="16" t="s">
        <v>10</v>
      </c>
      <c r="D11" s="2" t="s">
        <v>76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24</v>
      </c>
      <c r="B12" s="15" t="s">
        <v>25</v>
      </c>
      <c r="C12" s="16" t="s">
        <v>127</v>
      </c>
      <c r="D12" s="2">
        <v>0</v>
      </c>
      <c r="F12" s="30" t="s">
        <v>102</v>
      </c>
      <c r="G12" s="15" t="s">
        <v>45</v>
      </c>
      <c r="H12" s="16" t="s">
        <v>127</v>
      </c>
      <c r="I12" s="2">
        <v>0.15</v>
      </c>
    </row>
    <row r="13" spans="1:9" x14ac:dyDescent="0.25">
      <c r="A13" s="14" t="s">
        <v>189</v>
      </c>
      <c r="B13" s="15" t="s">
        <v>217</v>
      </c>
      <c r="C13" s="16" t="s">
        <v>10</v>
      </c>
      <c r="D13" s="2">
        <v>0</v>
      </c>
      <c r="F13" s="30" t="s">
        <v>103</v>
      </c>
      <c r="G13" s="15" t="s">
        <v>48</v>
      </c>
      <c r="H13" s="31" t="s">
        <v>131</v>
      </c>
      <c r="I13" s="2">
        <v>0.43</v>
      </c>
    </row>
    <row r="14" spans="1:9" x14ac:dyDescent="0.25">
      <c r="A14" s="14" t="s">
        <v>101</v>
      </c>
      <c r="B14" s="15" t="s">
        <v>218</v>
      </c>
      <c r="C14" s="16" t="s">
        <v>10</v>
      </c>
      <c r="D14" s="2">
        <v>1</v>
      </c>
      <c r="F14" s="14" t="s">
        <v>79</v>
      </c>
      <c r="G14" s="15" t="s">
        <v>46</v>
      </c>
      <c r="H14" s="16" t="s">
        <v>130</v>
      </c>
      <c r="I14" s="2">
        <v>0.78</v>
      </c>
    </row>
    <row r="15" spans="1:9" ht="15.75" thickBot="1" x14ac:dyDescent="0.3">
      <c r="A15" s="14" t="s">
        <v>246</v>
      </c>
      <c r="B15" s="15" t="s">
        <v>247</v>
      </c>
      <c r="C15" s="16" t="s">
        <v>10</v>
      </c>
      <c r="D15" s="2">
        <v>0</v>
      </c>
      <c r="F15" s="17" t="s">
        <v>80</v>
      </c>
      <c r="G15" s="18" t="s">
        <v>47</v>
      </c>
      <c r="H15" s="19" t="s">
        <v>127</v>
      </c>
      <c r="I15" s="3">
        <v>0.13</v>
      </c>
    </row>
    <row r="16" spans="1:9" x14ac:dyDescent="0.25">
      <c r="A16" s="14" t="s">
        <v>116</v>
      </c>
      <c r="B16" s="15" t="s">
        <v>219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4" t="s">
        <v>77</v>
      </c>
      <c r="B17" s="15" t="s">
        <v>220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4" t="s">
        <v>210</v>
      </c>
      <c r="B18" s="15" t="s">
        <v>221</v>
      </c>
      <c r="C18" s="16" t="s">
        <v>10</v>
      </c>
      <c r="D18" s="2">
        <v>0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4" t="s">
        <v>119</v>
      </c>
      <c r="B19" s="15" t="s">
        <v>222</v>
      </c>
      <c r="C19" s="16" t="s">
        <v>10</v>
      </c>
      <c r="D19" s="2">
        <v>0</v>
      </c>
      <c r="F19" s="65" t="s">
        <v>11</v>
      </c>
      <c r="G19" s="66" t="s">
        <v>12</v>
      </c>
      <c r="H19" s="67" t="s">
        <v>10</v>
      </c>
      <c r="I19" s="68">
        <v>1000</v>
      </c>
    </row>
    <row r="20" spans="1:9" x14ac:dyDescent="0.25">
      <c r="A20" s="14" t="s">
        <v>120</v>
      </c>
      <c r="B20" s="15" t="s">
        <v>223</v>
      </c>
      <c r="C20" s="16" t="s">
        <v>10</v>
      </c>
      <c r="D20" s="2">
        <v>0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x14ac:dyDescent="0.25">
      <c r="A21" s="14" t="s">
        <v>230</v>
      </c>
      <c r="B21" s="15" t="s">
        <v>227</v>
      </c>
      <c r="C21" s="16" t="s">
        <v>10</v>
      </c>
      <c r="D21" s="2">
        <v>1</v>
      </c>
      <c r="F21" s="14" t="s">
        <v>117</v>
      </c>
      <c r="G21" s="15" t="s">
        <v>118</v>
      </c>
      <c r="H21" s="16" t="s">
        <v>10</v>
      </c>
      <c r="I21" s="2">
        <v>1</v>
      </c>
    </row>
    <row r="22" spans="1:9" ht="15.75" thickBot="1" x14ac:dyDescent="0.3">
      <c r="A22" s="17" t="s">
        <v>231</v>
      </c>
      <c r="B22" s="18" t="s">
        <v>228</v>
      </c>
      <c r="C22" s="19" t="s">
        <v>10</v>
      </c>
      <c r="D22" s="3" t="s">
        <v>229</v>
      </c>
      <c r="F22" s="8"/>
      <c r="G22" s="8"/>
      <c r="H22" s="8"/>
      <c r="I22" s="8"/>
    </row>
    <row r="23" spans="1:9" ht="15.75" thickBot="1" x14ac:dyDescent="0.3">
      <c r="A23" s="6"/>
      <c r="B23" s="22"/>
      <c r="C23" s="23"/>
      <c r="D23" s="23"/>
      <c r="F23" s="20" t="s">
        <v>26</v>
      </c>
      <c r="G23" s="21"/>
      <c r="H23" s="21"/>
      <c r="I23" s="21"/>
    </row>
    <row r="24" spans="1:9" ht="15.75" thickBot="1" x14ac:dyDescent="0.3">
      <c r="A24" s="24" t="s">
        <v>35</v>
      </c>
      <c r="B24" s="25"/>
      <c r="C24" s="25"/>
      <c r="D24" s="25"/>
      <c r="F24" s="9" t="s">
        <v>3</v>
      </c>
      <c r="G24" s="10" t="s">
        <v>7</v>
      </c>
      <c r="H24" s="10" t="s">
        <v>5</v>
      </c>
      <c r="I24" s="10" t="s">
        <v>6</v>
      </c>
    </row>
    <row r="25" spans="1:9" ht="15.75" thickBot="1" x14ac:dyDescent="0.3">
      <c r="A25" s="9" t="s">
        <v>3</v>
      </c>
      <c r="B25" s="10" t="s">
        <v>4</v>
      </c>
      <c r="C25" s="10" t="s">
        <v>5</v>
      </c>
      <c r="D25" s="10" t="s">
        <v>6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1" t="s">
        <v>185</v>
      </c>
      <c r="B26" s="12" t="s">
        <v>186</v>
      </c>
      <c r="C26" s="28" t="s">
        <v>10</v>
      </c>
      <c r="D26" s="1">
        <v>0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1" t="s">
        <v>38</v>
      </c>
      <c r="B27" s="12" t="s">
        <v>39</v>
      </c>
      <c r="C27" s="28" t="s">
        <v>40</v>
      </c>
      <c r="D27" s="1">
        <v>1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11" t="s">
        <v>108</v>
      </c>
      <c r="B28" s="12" t="s">
        <v>109</v>
      </c>
      <c r="C28" s="28" t="s">
        <v>107</v>
      </c>
      <c r="D28" s="1">
        <v>3.43</v>
      </c>
      <c r="F28" s="17" t="s">
        <v>36</v>
      </c>
      <c r="G28" s="18" t="s">
        <v>37</v>
      </c>
      <c r="H28" s="19" t="s">
        <v>127</v>
      </c>
      <c r="I28" s="3">
        <v>1</v>
      </c>
    </row>
    <row r="29" spans="1:9" x14ac:dyDescent="0.25">
      <c r="A29" s="11" t="s">
        <v>104</v>
      </c>
      <c r="B29" s="12" t="s">
        <v>224</v>
      </c>
      <c r="C29" s="28" t="s">
        <v>10</v>
      </c>
      <c r="D29" s="2"/>
      <c r="F29" s="21"/>
      <c r="G29" s="21"/>
      <c r="H29" s="21"/>
      <c r="I29" s="21"/>
    </row>
    <row r="30" spans="1:9" ht="15.75" thickBot="1" x14ac:dyDescent="0.3">
      <c r="A30" s="11" t="s">
        <v>184</v>
      </c>
      <c r="B30" s="12" t="s">
        <v>226</v>
      </c>
      <c r="C30" s="28" t="s">
        <v>10</v>
      </c>
      <c r="D30" s="2" t="s">
        <v>234</v>
      </c>
      <c r="F30" s="26" t="s">
        <v>41</v>
      </c>
      <c r="G30" s="27"/>
      <c r="H30" s="27"/>
      <c r="I30" s="27"/>
    </row>
    <row r="31" spans="1:9" ht="15.75" thickBot="1" x14ac:dyDescent="0.3">
      <c r="A31" s="14" t="s">
        <v>42</v>
      </c>
      <c r="B31" s="15" t="s">
        <v>187</v>
      </c>
      <c r="C31" s="16" t="s">
        <v>10</v>
      </c>
      <c r="D31" s="2" t="s">
        <v>233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105</v>
      </c>
      <c r="B32" s="15" t="s">
        <v>225</v>
      </c>
      <c r="C32" s="16" t="s">
        <v>10</v>
      </c>
      <c r="D32" s="2"/>
      <c r="F32" s="29" t="s">
        <v>43</v>
      </c>
      <c r="G32" s="12" t="s">
        <v>44</v>
      </c>
      <c r="H32" s="13" t="s">
        <v>10</v>
      </c>
      <c r="I32" s="1">
        <v>1</v>
      </c>
    </row>
    <row r="33" spans="1:9" x14ac:dyDescent="0.25">
      <c r="A33" s="25"/>
      <c r="B33" s="25"/>
      <c r="C33" s="25"/>
      <c r="D33" s="25"/>
      <c r="F33" s="14" t="s">
        <v>112</v>
      </c>
      <c r="G33" s="15" t="s">
        <v>111</v>
      </c>
      <c r="H33" s="16" t="s">
        <v>10</v>
      </c>
      <c r="I33" s="2">
        <v>0</v>
      </c>
    </row>
    <row r="34" spans="1:9" ht="15.75" thickBot="1" x14ac:dyDescent="0.3">
      <c r="A34" s="34" t="s">
        <v>50</v>
      </c>
      <c r="B34" s="35"/>
      <c r="C34" s="35"/>
      <c r="D34" s="35"/>
      <c r="F34" s="14" t="s">
        <v>194</v>
      </c>
      <c r="G34" s="15" t="s">
        <v>202</v>
      </c>
      <c r="H34" s="16" t="s">
        <v>10</v>
      </c>
      <c r="I34" s="2">
        <v>0</v>
      </c>
    </row>
    <row r="35" spans="1:9" ht="15.75" thickBot="1" x14ac:dyDescent="0.3">
      <c r="A35" s="9" t="s">
        <v>3</v>
      </c>
      <c r="B35" s="10" t="s">
        <v>7</v>
      </c>
      <c r="C35" s="10" t="s">
        <v>5</v>
      </c>
      <c r="D35" s="10" t="s">
        <v>6</v>
      </c>
      <c r="F35" s="14" t="s">
        <v>195</v>
      </c>
      <c r="G35" s="15" t="s">
        <v>203</v>
      </c>
      <c r="H35" s="16" t="s">
        <v>10</v>
      </c>
      <c r="I35" s="2">
        <v>0</v>
      </c>
    </row>
    <row r="36" spans="1:9" x14ac:dyDescent="0.25">
      <c r="A36" s="11" t="s">
        <v>51</v>
      </c>
      <c r="B36" s="12" t="s">
        <v>122</v>
      </c>
      <c r="C36" s="13" t="s">
        <v>127</v>
      </c>
      <c r="D36" s="1">
        <v>3.41</v>
      </c>
      <c r="F36" s="14" t="s">
        <v>196</v>
      </c>
      <c r="G36" s="15" t="s">
        <v>204</v>
      </c>
      <c r="H36" s="16" t="s">
        <v>10</v>
      </c>
      <c r="I36" s="2">
        <v>0</v>
      </c>
    </row>
    <row r="37" spans="1:9" x14ac:dyDescent="0.25">
      <c r="A37" s="14" t="s">
        <v>52</v>
      </c>
      <c r="B37" s="15" t="s">
        <v>78</v>
      </c>
      <c r="C37" s="16" t="s">
        <v>127</v>
      </c>
      <c r="D37" s="2">
        <v>7.01</v>
      </c>
      <c r="F37" s="14" t="s">
        <v>197</v>
      </c>
      <c r="G37" s="15" t="s">
        <v>205</v>
      </c>
      <c r="H37" s="16" t="s">
        <v>10</v>
      </c>
      <c r="I37" s="2">
        <v>0</v>
      </c>
    </row>
    <row r="38" spans="1:9" x14ac:dyDescent="0.25">
      <c r="A38" s="14" t="s">
        <v>53</v>
      </c>
      <c r="B38" s="15" t="s">
        <v>123</v>
      </c>
      <c r="C38" s="16" t="s">
        <v>127</v>
      </c>
      <c r="D38" s="2">
        <v>-2.42</v>
      </c>
      <c r="F38" s="14" t="s">
        <v>198</v>
      </c>
      <c r="G38" s="15" t="s">
        <v>206</v>
      </c>
      <c r="H38" s="16" t="s">
        <v>10</v>
      </c>
      <c r="I38" s="2">
        <v>0</v>
      </c>
    </row>
    <row r="39" spans="1:9" x14ac:dyDescent="0.25">
      <c r="A39" s="14" t="s">
        <v>174</v>
      </c>
      <c r="B39" s="15" t="s">
        <v>124</v>
      </c>
      <c r="C39" s="16" t="s">
        <v>127</v>
      </c>
      <c r="D39" s="2">
        <v>-0.95799999999999996</v>
      </c>
      <c r="F39" s="14" t="s">
        <v>213</v>
      </c>
      <c r="G39" s="15" t="s">
        <v>214</v>
      </c>
      <c r="H39" s="16" t="s">
        <v>10</v>
      </c>
      <c r="I39" s="2">
        <v>0</v>
      </c>
    </row>
    <row r="40" spans="1:9" x14ac:dyDescent="0.25">
      <c r="A40" s="14" t="s">
        <v>54</v>
      </c>
      <c r="B40" s="15" t="s">
        <v>125</v>
      </c>
      <c r="C40" s="16" t="s">
        <v>10</v>
      </c>
      <c r="D40" s="2">
        <v>3</v>
      </c>
      <c r="F40" s="14" t="s">
        <v>199</v>
      </c>
      <c r="G40" s="15" t="s">
        <v>207</v>
      </c>
      <c r="H40" s="16" t="s">
        <v>10</v>
      </c>
      <c r="I40" s="2">
        <v>0</v>
      </c>
    </row>
    <row r="41" spans="1:9" x14ac:dyDescent="0.25">
      <c r="A41" s="14" t="s">
        <v>55</v>
      </c>
      <c r="B41" s="15" t="s">
        <v>126</v>
      </c>
      <c r="C41" s="16" t="s">
        <v>10</v>
      </c>
      <c r="D41" s="2">
        <v>1.5</v>
      </c>
      <c r="F41" s="14" t="s">
        <v>200</v>
      </c>
      <c r="G41" s="15" t="s">
        <v>208</v>
      </c>
      <c r="H41" s="16" t="s">
        <v>10</v>
      </c>
      <c r="I41" s="2">
        <v>0</v>
      </c>
    </row>
    <row r="42" spans="1:9" x14ac:dyDescent="0.25">
      <c r="A42" s="39" t="s">
        <v>82</v>
      </c>
      <c r="B42" s="39" t="s">
        <v>83</v>
      </c>
      <c r="C42" s="45" t="s">
        <v>132</v>
      </c>
      <c r="D42" s="46">
        <v>0</v>
      </c>
      <c r="F42" s="14" t="s">
        <v>201</v>
      </c>
      <c r="G42" s="15" t="s">
        <v>209</v>
      </c>
      <c r="H42" s="16" t="s">
        <v>10</v>
      </c>
      <c r="I42" s="2">
        <v>0</v>
      </c>
    </row>
    <row r="43" spans="1:9" x14ac:dyDescent="0.25">
      <c r="A43" s="14" t="s">
        <v>134</v>
      </c>
      <c r="B43" s="15" t="s">
        <v>133</v>
      </c>
      <c r="C43" s="16" t="s">
        <v>10</v>
      </c>
      <c r="D43" s="2">
        <v>0.4</v>
      </c>
      <c r="F43" s="14" t="s">
        <v>237</v>
      </c>
      <c r="G43" s="15" t="s">
        <v>238</v>
      </c>
      <c r="H43" s="16" t="s">
        <v>10</v>
      </c>
      <c r="I43" s="2">
        <v>1</v>
      </c>
    </row>
    <row r="44" spans="1:9" x14ac:dyDescent="0.25">
      <c r="A44" s="14" t="s">
        <v>84</v>
      </c>
      <c r="B44" s="14" t="s">
        <v>86</v>
      </c>
      <c r="C44" s="16" t="s">
        <v>127</v>
      </c>
      <c r="D44" s="2">
        <v>3.35</v>
      </c>
      <c r="F44" s="14" t="s">
        <v>239</v>
      </c>
      <c r="G44" s="15" t="s">
        <v>240</v>
      </c>
      <c r="H44" s="16" t="s">
        <v>10</v>
      </c>
      <c r="I44" s="2">
        <v>1</v>
      </c>
    </row>
    <row r="45" spans="1:9" ht="15.75" thickBot="1" x14ac:dyDescent="0.3">
      <c r="A45" s="38" t="s">
        <v>85</v>
      </c>
      <c r="B45" s="38" t="s">
        <v>121</v>
      </c>
      <c r="C45" s="43" t="s">
        <v>127</v>
      </c>
      <c r="D45" s="44">
        <v>0.06</v>
      </c>
      <c r="F45" s="14" t="s">
        <v>241</v>
      </c>
      <c r="G45" s="15" t="s">
        <v>242</v>
      </c>
      <c r="H45" s="16" t="s">
        <v>10</v>
      </c>
      <c r="I45" s="2">
        <v>0</v>
      </c>
    </row>
    <row r="46" spans="1:9" ht="15.75" thickBot="1" x14ac:dyDescent="0.3">
      <c r="A46" s="34"/>
      <c r="B46" s="34"/>
      <c r="C46" s="34"/>
      <c r="D46" s="34"/>
      <c r="F46" s="17" t="s">
        <v>243</v>
      </c>
      <c r="G46" s="18" t="s">
        <v>244</v>
      </c>
      <c r="H46" s="19" t="s">
        <v>10</v>
      </c>
      <c r="I46" s="3">
        <v>0</v>
      </c>
    </row>
    <row r="47" spans="1:9" ht="15.75" thickBot="1" x14ac:dyDescent="0.3">
      <c r="A47" s="36" t="s">
        <v>56</v>
      </c>
      <c r="B47" s="37"/>
      <c r="C47" s="37"/>
      <c r="D47" s="37"/>
    </row>
    <row r="48" spans="1:9" ht="15.75" thickBot="1" x14ac:dyDescent="0.3">
      <c r="A48" s="9" t="s">
        <v>3</v>
      </c>
      <c r="B48" s="10" t="s">
        <v>7</v>
      </c>
      <c r="C48" s="10" t="s">
        <v>5</v>
      </c>
      <c r="D48" s="10" t="s">
        <v>6</v>
      </c>
    </row>
    <row r="49" spans="1:4" x14ac:dyDescent="0.25">
      <c r="A49" s="11" t="s">
        <v>57</v>
      </c>
      <c r="B49" s="12" t="s">
        <v>58</v>
      </c>
      <c r="C49" s="13" t="s">
        <v>10</v>
      </c>
      <c r="D49" s="1">
        <v>1.65</v>
      </c>
    </row>
    <row r="50" spans="1:4" x14ac:dyDescent="0.25">
      <c r="A50" s="14" t="s">
        <v>59</v>
      </c>
      <c r="B50" s="15" t="s">
        <v>60</v>
      </c>
      <c r="C50" s="16" t="s">
        <v>128</v>
      </c>
      <c r="D50" s="2">
        <v>780</v>
      </c>
    </row>
    <row r="51" spans="1:4" x14ac:dyDescent="0.25">
      <c r="A51" s="14" t="s">
        <v>61</v>
      </c>
      <c r="B51" s="15" t="s">
        <v>62</v>
      </c>
      <c r="C51" s="16" t="s">
        <v>128</v>
      </c>
      <c r="D51" s="2">
        <v>57</v>
      </c>
    </row>
    <row r="52" spans="1:4" x14ac:dyDescent="0.25">
      <c r="A52" s="14" t="s">
        <v>215</v>
      </c>
      <c r="B52" s="15" t="s">
        <v>216</v>
      </c>
      <c r="C52" s="16" t="s">
        <v>128</v>
      </c>
      <c r="D52" s="2">
        <v>1147</v>
      </c>
    </row>
    <row r="53" spans="1:4" x14ac:dyDescent="0.25">
      <c r="A53" s="14" t="s">
        <v>63</v>
      </c>
      <c r="B53" s="15" t="s">
        <v>64</v>
      </c>
      <c r="C53" s="16" t="s">
        <v>129</v>
      </c>
      <c r="D53" s="2">
        <v>1027</v>
      </c>
    </row>
    <row r="54" spans="1:4" x14ac:dyDescent="0.25">
      <c r="A54" s="14" t="s">
        <v>65</v>
      </c>
      <c r="B54" s="15" t="s">
        <v>66</v>
      </c>
      <c r="C54" s="16" t="s">
        <v>67</v>
      </c>
      <c r="D54" s="2">
        <v>0.4</v>
      </c>
    </row>
    <row r="55" spans="1:4" ht="60.75" customHeight="1" x14ac:dyDescent="0.25">
      <c r="A55" s="14" t="s">
        <v>68</v>
      </c>
      <c r="B55" s="15" t="s">
        <v>69</v>
      </c>
      <c r="C55" s="16" t="s">
        <v>10</v>
      </c>
      <c r="D55" s="2">
        <v>1</v>
      </c>
    </row>
    <row r="56" spans="1:4" x14ac:dyDescent="0.25">
      <c r="A56" s="14" t="s">
        <v>70</v>
      </c>
      <c r="B56" s="15" t="s">
        <v>71</v>
      </c>
      <c r="C56" s="16" t="s">
        <v>10</v>
      </c>
      <c r="D56" s="2">
        <v>1</v>
      </c>
    </row>
    <row r="57" spans="1:4" x14ac:dyDescent="0.25">
      <c r="A57" s="14" t="s">
        <v>72</v>
      </c>
      <c r="B57" s="15" t="s">
        <v>73</v>
      </c>
      <c r="C57" s="16" t="s">
        <v>10</v>
      </c>
      <c r="D57" s="2">
        <v>17</v>
      </c>
    </row>
    <row r="58" spans="1:4" x14ac:dyDescent="0.25">
      <c r="A58" s="39" t="s">
        <v>74</v>
      </c>
      <c r="B58" s="40" t="s">
        <v>75</v>
      </c>
      <c r="C58" s="41" t="s">
        <v>10</v>
      </c>
      <c r="D58" s="42">
        <v>17</v>
      </c>
    </row>
    <row r="59" spans="1:4" ht="15.75" thickBot="1" x14ac:dyDescent="0.3">
      <c r="A59" s="18" t="s">
        <v>81</v>
      </c>
      <c r="B59" s="48" t="s">
        <v>87</v>
      </c>
      <c r="C59" s="19" t="s">
        <v>10</v>
      </c>
      <c r="D59" s="4">
        <v>2</v>
      </c>
    </row>
    <row r="60" spans="1:4" x14ac:dyDescent="0.25">
      <c r="A60" s="37"/>
      <c r="B60" s="37"/>
      <c r="C60" s="37"/>
      <c r="D60" s="37"/>
    </row>
    <row r="66" spans="2:3" x14ac:dyDescent="0.25">
      <c r="C66" s="64"/>
    </row>
    <row r="67" spans="2:3" ht="15.75" thickBot="1" x14ac:dyDescent="0.3">
      <c r="C67" s="63"/>
    </row>
    <row r="73" spans="2:3" x14ac:dyDescent="0.25">
      <c r="B73" s="47"/>
    </row>
  </sheetData>
  <sheetProtection formatColumns="0" selectLockedCells="1"/>
  <protectedRanges>
    <protectedRange sqref="I3:I6 I8 I12:I16 I25:I28 D17:D20 I32 D27 I19:I20 D9:D12 D14 D3:D7 D15" name="Range1_1"/>
    <protectedRange sqref="D8 D16" name="Range1_1_1"/>
    <protectedRange sqref="D49:D59" name="Range1_1_4"/>
    <protectedRange sqref="D13 D32" name="Range1_1_2"/>
    <protectedRange sqref="D29" name="Range1_1_6_1"/>
    <protectedRange sqref="D26" name="Range1_1_6"/>
    <protectedRange sqref="D28" name="Range1_1_5"/>
    <protectedRange sqref="D30" name="Range1_1_5_1_1"/>
    <protectedRange sqref="D31" name="Range1_1_8_1_1"/>
    <protectedRange sqref="D43 D36:D41" name="Range1_1_3_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190</v>
      </c>
    </row>
    <row r="2" spans="1:1" x14ac:dyDescent="0.25">
      <c r="A2" t="s">
        <v>191</v>
      </c>
    </row>
    <row r="3" spans="1:1" x14ac:dyDescent="0.25">
      <c r="A3" t="s">
        <v>192</v>
      </c>
    </row>
    <row r="4" spans="1:1" x14ac:dyDescent="0.25">
      <c r="A4" t="s">
        <v>193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176</v>
      </c>
      <c r="B1" t="s">
        <v>181</v>
      </c>
      <c r="C1" t="s">
        <v>135</v>
      </c>
      <c r="D1" t="s">
        <v>148</v>
      </c>
      <c r="E1" t="s">
        <v>76</v>
      </c>
    </row>
    <row r="3" spans="1:5" x14ac:dyDescent="0.25">
      <c r="A3" t="s">
        <v>175</v>
      </c>
      <c r="B3" t="s">
        <v>156</v>
      </c>
    </row>
    <row r="4" spans="1:5" x14ac:dyDescent="0.25">
      <c r="A4" s="50" t="s">
        <v>149</v>
      </c>
      <c r="B4" t="s">
        <v>157</v>
      </c>
      <c r="C4" t="s">
        <v>158</v>
      </c>
    </row>
    <row r="5" spans="1:5" x14ac:dyDescent="0.25">
      <c r="A5" s="50" t="s">
        <v>150</v>
      </c>
      <c r="B5" t="s">
        <v>163</v>
      </c>
      <c r="C5" t="s">
        <v>170</v>
      </c>
    </row>
    <row r="6" spans="1:5" x14ac:dyDescent="0.25">
      <c r="A6" s="50" t="s">
        <v>151</v>
      </c>
      <c r="B6" t="s">
        <v>164</v>
      </c>
      <c r="C6" t="s">
        <v>170</v>
      </c>
    </row>
    <row r="7" spans="1:5" x14ac:dyDescent="0.25">
      <c r="A7" s="50" t="s">
        <v>152</v>
      </c>
      <c r="B7" t="s">
        <v>165</v>
      </c>
      <c r="C7" t="s">
        <v>170</v>
      </c>
    </row>
    <row r="8" spans="1:5" x14ac:dyDescent="0.25">
      <c r="A8" s="50" t="s">
        <v>153</v>
      </c>
      <c r="B8" t="s">
        <v>169</v>
      </c>
      <c r="C8" t="s">
        <v>76</v>
      </c>
    </row>
    <row r="9" spans="1:5" x14ac:dyDescent="0.25">
      <c r="A9" s="50" t="s">
        <v>154</v>
      </c>
      <c r="B9" t="s">
        <v>166</v>
      </c>
      <c r="C9" t="s">
        <v>170</v>
      </c>
    </row>
    <row r="10" spans="1:5" x14ac:dyDescent="0.25">
      <c r="B10" t="s">
        <v>167</v>
      </c>
      <c r="C10" t="s">
        <v>170</v>
      </c>
    </row>
    <row r="11" spans="1:5" x14ac:dyDescent="0.25">
      <c r="B11" t="s">
        <v>168</v>
      </c>
      <c r="C11" t="s">
        <v>170</v>
      </c>
    </row>
    <row r="12" spans="1:5" x14ac:dyDescent="0.25">
      <c r="B12" t="s">
        <v>159</v>
      </c>
      <c r="C12" t="s">
        <v>160</v>
      </c>
    </row>
    <row r="13" spans="1:5" x14ac:dyDescent="0.25">
      <c r="B13" t="s">
        <v>161</v>
      </c>
      <c r="C13" t="s">
        <v>162</v>
      </c>
    </row>
    <row r="15" spans="1:5" ht="15.75" thickBot="1" x14ac:dyDescent="0.3"/>
    <row r="16" spans="1:5" ht="15.75" thickBot="1" x14ac:dyDescent="0.3">
      <c r="A16" s="54" t="s">
        <v>136</v>
      </c>
      <c r="B16" s="54" t="s">
        <v>4</v>
      </c>
      <c r="C16" s="54" t="s">
        <v>144</v>
      </c>
      <c r="D16" s="58" t="s">
        <v>147</v>
      </c>
    </row>
    <row r="17" spans="1:7" x14ac:dyDescent="0.25">
      <c r="A17" s="55">
        <v>0</v>
      </c>
      <c r="B17" s="55" t="s">
        <v>137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138</v>
      </c>
      <c r="C18" s="60">
        <v>128.0189</v>
      </c>
      <c r="D18" s="60">
        <f>C18/60</f>
        <v>2.1336483333333334</v>
      </c>
      <c r="E18" t="s">
        <v>146</v>
      </c>
    </row>
    <row r="19" spans="1:7" x14ac:dyDescent="0.25">
      <c r="A19" s="56">
        <f t="shared" ref="A19:A23" si="0">A18+1</f>
        <v>2</v>
      </c>
      <c r="B19" s="56" t="s">
        <v>139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140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141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142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143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173</v>
      </c>
    </row>
    <row r="24" spans="1:7" ht="15.75" thickBot="1" x14ac:dyDescent="0.3">
      <c r="A24" s="69" t="s">
        <v>145</v>
      </c>
      <c r="B24" s="70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172</v>
      </c>
    </row>
    <row r="28" spans="1:7" x14ac:dyDescent="0.25">
      <c r="E28" s="8"/>
      <c r="F28" t="s">
        <v>155</v>
      </c>
    </row>
    <row r="29" spans="1:7" x14ac:dyDescent="0.25">
      <c r="E29" s="51"/>
      <c r="F29" t="s">
        <v>171</v>
      </c>
    </row>
    <row r="31" spans="1:7" x14ac:dyDescent="0.25">
      <c r="A31" t="s">
        <v>176</v>
      </c>
      <c r="B31" t="s">
        <v>180</v>
      </c>
      <c r="C31" t="s">
        <v>182</v>
      </c>
      <c r="D31" t="s">
        <v>148</v>
      </c>
      <c r="E31" t="s">
        <v>76</v>
      </c>
    </row>
    <row r="33" spans="1:7" x14ac:dyDescent="0.25">
      <c r="A33" t="s">
        <v>175</v>
      </c>
      <c r="B33" t="s">
        <v>156</v>
      </c>
    </row>
    <row r="34" spans="1:7" x14ac:dyDescent="0.25">
      <c r="A34" s="50" t="s">
        <v>177</v>
      </c>
      <c r="B34" t="s">
        <v>157</v>
      </c>
      <c r="C34" t="s">
        <v>158</v>
      </c>
    </row>
    <row r="35" spans="1:7" x14ac:dyDescent="0.25">
      <c r="A35" s="50" t="s">
        <v>178</v>
      </c>
      <c r="B35" t="s">
        <v>163</v>
      </c>
      <c r="C35" t="s">
        <v>170</v>
      </c>
    </row>
    <row r="36" spans="1:7" x14ac:dyDescent="0.25">
      <c r="A36" s="50" t="s">
        <v>179</v>
      </c>
      <c r="B36" t="s">
        <v>164</v>
      </c>
      <c r="C36" t="s">
        <v>170</v>
      </c>
    </row>
    <row r="37" spans="1:7" x14ac:dyDescent="0.25">
      <c r="A37" s="50" t="s">
        <v>152</v>
      </c>
      <c r="B37" t="s">
        <v>165</v>
      </c>
      <c r="C37" t="s">
        <v>170</v>
      </c>
    </row>
    <row r="38" spans="1:7" x14ac:dyDescent="0.25">
      <c r="A38" s="50" t="s">
        <v>153</v>
      </c>
      <c r="B38" t="s">
        <v>169</v>
      </c>
      <c r="C38" t="s">
        <v>76</v>
      </c>
    </row>
    <row r="39" spans="1:7" x14ac:dyDescent="0.25">
      <c r="B39" t="s">
        <v>166</v>
      </c>
      <c r="C39" t="s">
        <v>170</v>
      </c>
    </row>
    <row r="40" spans="1:7" x14ac:dyDescent="0.25">
      <c r="B40" t="s">
        <v>167</v>
      </c>
      <c r="C40" t="s">
        <v>170</v>
      </c>
    </row>
    <row r="41" spans="1:7" x14ac:dyDescent="0.25">
      <c r="B41" t="s">
        <v>168</v>
      </c>
      <c r="C41" t="s">
        <v>170</v>
      </c>
    </row>
    <row r="42" spans="1:7" x14ac:dyDescent="0.25">
      <c r="B42" t="s">
        <v>159</v>
      </c>
      <c r="C42" t="s">
        <v>160</v>
      </c>
    </row>
    <row r="43" spans="1:7" x14ac:dyDescent="0.25">
      <c r="B43" t="s">
        <v>161</v>
      </c>
      <c r="C43" t="s">
        <v>162</v>
      </c>
    </row>
    <row r="45" spans="1:7" ht="15.75" thickBot="1" x14ac:dyDescent="0.3"/>
    <row r="46" spans="1:7" ht="15.75" thickBot="1" x14ac:dyDescent="0.3">
      <c r="A46" s="54" t="s">
        <v>136</v>
      </c>
      <c r="B46" s="54" t="s">
        <v>4</v>
      </c>
      <c r="C46" s="54" t="s">
        <v>144</v>
      </c>
      <c r="D46" s="58" t="s">
        <v>147</v>
      </c>
    </row>
    <row r="47" spans="1:7" x14ac:dyDescent="0.25">
      <c r="A47" s="55">
        <v>0</v>
      </c>
      <c r="B47" s="55" t="s">
        <v>137</v>
      </c>
      <c r="C47" s="59">
        <v>0.66720000000000002</v>
      </c>
      <c r="D47" s="62">
        <f>C47/60</f>
        <v>1.112E-2</v>
      </c>
      <c r="F47" t="s">
        <v>183</v>
      </c>
    </row>
    <row r="48" spans="1:7" x14ac:dyDescent="0.25">
      <c r="A48" s="56">
        <f>A47+1</f>
        <v>1</v>
      </c>
      <c r="B48" s="56" t="s">
        <v>138</v>
      </c>
      <c r="C48" s="60">
        <v>128.0189</v>
      </c>
      <c r="D48" s="60">
        <f>C48/60</f>
        <v>2.1336483333333334</v>
      </c>
      <c r="E48" t="s">
        <v>146</v>
      </c>
      <c r="F48" t="s">
        <v>144</v>
      </c>
      <c r="G48" t="s">
        <v>147</v>
      </c>
    </row>
    <row r="49" spans="1:7" x14ac:dyDescent="0.25">
      <c r="A49" s="56">
        <f t="shared" ref="A49:A53" si="2">A48+1</f>
        <v>2</v>
      </c>
      <c r="B49" s="56" t="s">
        <v>139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140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141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142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143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9" t="s">
        <v>145</v>
      </c>
      <c r="B54" s="70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2024-02-26T19:04:05Z</dcterms:modified>
</cp:coreProperties>
</file>