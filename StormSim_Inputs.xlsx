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66D59646-0DE0-45FF-AB5A-D260EB9A4ED5}" xr6:coauthVersionLast="47" xr6:coauthVersionMax="47" xr10:uidLastSave="{00000000-0000-0000-0000-000000000000}"/>
  <bookViews>
    <workbookView xWindow="15840" yWindow="0" windowWidth="22665" windowHeight="20985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<sst xmlns="http://schemas.openxmlformats.org/spreadsheetml/2006/main" count="369" uniqueCount="230">
  <si>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</si>
  <si>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</si>
  <si>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</si>
  <si>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</si>
  <si>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</si>
  <si>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</si>
  <si>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</si>
  <si>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</si>
  <si>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</si>
  <si>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</si>
  <si>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</si>
  <si>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</si>
  <si>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</si>
  <si>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</si>
  <si>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</si>
  <si>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</si>
  <si>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</si>
  <si>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</si>
  <si>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</si>
  <si>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</si>
  <si>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</si>
  <si>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</si>
  <si>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</si>
  <si>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</si>
  <si>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</si>
  <si>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</si>
  <si>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</si>
  <si>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</si>
  <si>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</si>
  <si>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</si>
  <si>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</si>
  <si>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</si>
  <si>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</si>
  <si>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</si>
  <si>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</si>
  <si>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</si>
  <si>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</si>
  <si>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</si>
  <si>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</si>
  <si>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</si>
  <si>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</si>
  <si>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</si>
  <si>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</si>
  <si>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</si>
  <si>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</si>
  <si>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</si>
  <si>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</si>
  <si>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</si>
  <si>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</si>
  <si>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</si>
  <si>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</si>
  <si>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</si>
  <si>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</si>
  <si>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</si>
  <si>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</si>
  <si>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</si>
  <si>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</si>
  <si>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</si>
  <si>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</si>
  <si>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</si>
  <si>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</si>
  <si>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</si>
  <si>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</si>
  <si>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</si>
  <si>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</si>
  <si>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</si>
  <si>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</si>
  <si>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</si>
  <si>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</si>
  <si>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</si>
  <si>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</si>
  <si>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</si>
  <si>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</si>
  <si>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</si>
  <si>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</si>
  <si>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</si>
  <si>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</si>
  <si>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</si>
  <si>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</si>
  <si>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</si>
  <si>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</si>
  <si>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</si>
  <si>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</si>
  <si>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</si>
  <si>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</si>
  <si>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</si>
  <si>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</si>
  <si>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</si>
  <si>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</si>
  <si>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</si>
  <si>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</si>
  <si>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</si>
  <si>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</si>
  <si>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</si>
  <si>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</si>
  <si>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</si>
  <si>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</si>
  <si>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</si>
  <si>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</si>
  <si>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</si>
  <si>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</si>
  <si>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</si>
  <si>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</si>
  <si>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</si>
  <si>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</si>
  <si>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</si>
  <si>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</si>
  <si>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</si>
  <si>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</si>
  <si>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</si>
  <si>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</si>
  <si>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</si>
  <si>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</si>
  <si>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</si>
  <si>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</si>
  <si>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</si>
  <si>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</si>
  <si>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</si>
  <si>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</si>
  <si>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</si>
  <si>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</si>
  <si>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</si>
  <si>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</si>
  <si>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</si>
  <si>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</si>
  <si>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</si>
  <si>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</si>
  <si>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</si>
  <si>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</si>
  <si>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</si>
  <si>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</si>
  <si>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</si>
  <si>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</si>
  <si>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</si>
  <si>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</si>
  <si>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</si>
  <si>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</si>
  <si>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</si>
  <si>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</si>
  <si>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</si>
  <si>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</si>
  <si>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</si>
  <si>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</si>
  <si>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</si>
  <si>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</si>
  <si>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</si>
  <si>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</si>
  <si>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</si>
  <si>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</si>
  <si>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</si>
  <si>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</si>
  <si>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</si>
  <si>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</si>
  <si>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</si>
  <si>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</si>
  <si>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</si>
  <si>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</si>
  <si>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</si>
  <si>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</si>
  <si>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</si>
  <si>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</si>
  <si>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</si>
  <si>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</si>
  <si>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</si>
  <si>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</si>
  <si>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</si>
  <si>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</si>
  <si>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</si>
  <si>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</si>
  <si>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</si>
  <si>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</si>
  <si>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</si>
  <si>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</si>
  <si>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</si>
  <si>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</si>
  <si>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</si>
  <si>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</si>
  <si>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</si>
  <si>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</si>
  <si>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</si>
  <si>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</si>
  <si>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</si>
  <si>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</si>
  <si>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</si>
  <si>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</si>
  <si>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</si>
  <si>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</si>
  <si>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</si>
  <si>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</si>
  <si>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</si>
  <si>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</si>
  <si>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</si>
  <si>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</si>
  <si>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</si>
  <si>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</si>
  <si>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</si>
  <si>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</si>
  <si>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</si>
  <si>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</si>
  <si>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</si>
  <si>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</si>
  <si>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</si>
  <si>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</si>
  <si>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</si>
  <si>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</si>
  <si>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</si>
  <si>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</si>
  <si>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</si>
  <si>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</si>
  <si>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</si>
  <si>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</si>
  <si>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</si>
  <si>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</si>
  <si>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</si>
  <si>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</si>
  <si>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</si>
  <si>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</si>
  <si>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</si>
  <si>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</si>
  <si>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</si>
  <si>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</si>
  <si>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</si>
  <si>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</si>
  <si>
    <t>use_waves_swl</t>
  </si>
  <si>
    <t>Grab SWL hydrograph from wave model (0/1)</t>
  </si>
  <si>
    <t>James_Island</t>
  </si>
  <si>
    <t>Levee_Case</t>
  </si>
  <si>
    <t>SP_2243</t>
  </si>
  <si>
    <t>prob_mass_from_MB_SP2243\prob_mass_from_MB_SP2243.mat</t>
  </si>
  <si>
    <t>prob_mass_from_MB_SP2243\CHS_Data_from_MB_SP2243.mat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</si>
</sst>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8"/>
  <sheetViews>
    <sheetView tabSelected="1" topLeftCell="E1" zoomScale="120" zoomScaleNormal="120" workbookViewId="0">
      <selection activeCell="D39" sqref="D39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225</v>
      </c>
      <c r="F3" s="49" t="s">
        <v>98</v>
      </c>
      <c r="G3" s="49" t="s">
        <v>91</v>
      </c>
      <c r="H3" s="13" t="s">
        <v>136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227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226</v>
      </c>
      <c r="F5" s="49" t="s">
        <v>101</v>
      </c>
      <c r="G5" s="49" t="s">
        <v>93</v>
      </c>
      <c r="H5" s="13" t="s">
        <v>136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141</v>
      </c>
      <c r="I7" s="2">
        <v>0</v>
      </c>
    </row>
    <row r="8" spans="1:9" ht="15.75" thickBot="1" x14ac:dyDescent="0.3">
      <c r="A8" s="14" t="s">
        <v>120</v>
      </c>
      <c r="B8" s="15" t="s">
        <v>200</v>
      </c>
      <c r="C8" s="16" t="s">
        <v>10</v>
      </c>
      <c r="D8" s="2">
        <v>1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1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201</v>
      </c>
      <c r="B12" s="15" t="s">
        <v>202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136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140</v>
      </c>
      <c r="I13" s="2">
        <v>0.43</v>
      </c>
    </row>
    <row r="14" spans="1:9" x14ac:dyDescent="0.25">
      <c r="A14" s="14" t="s">
        <v>123</v>
      </c>
      <c r="B14" s="15" t="s">
        <v>121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139</v>
      </c>
      <c r="I14" s="2">
        <v>0.78</v>
      </c>
    </row>
    <row r="15" spans="1:9" ht="15.75" thickBot="1" x14ac:dyDescent="0.3">
      <c r="A15" s="14" t="s">
        <v>79</v>
      </c>
      <c r="B15" s="15" t="s">
        <v>122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136</v>
      </c>
      <c r="I15" s="3">
        <v>0.13</v>
      </c>
    </row>
    <row r="16" spans="1:9" x14ac:dyDescent="0.25">
      <c r="A16" s="14" t="s">
        <v>223</v>
      </c>
      <c r="B16" s="15" t="s">
        <v>224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4" t="s">
        <v>128</v>
      </c>
      <c r="B17" s="15" t="s">
        <v>125</v>
      </c>
      <c r="C17" s="16" t="s">
        <v>10</v>
      </c>
      <c r="D17" s="2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7" t="s">
        <v>129</v>
      </c>
      <c r="B18" s="18" t="s">
        <v>124</v>
      </c>
      <c r="C18" s="19" t="s">
        <v>10</v>
      </c>
      <c r="D18" s="3">
        <v>1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6"/>
      <c r="B19" s="22"/>
      <c r="C19" s="23"/>
      <c r="D19" s="23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24" t="s">
        <v>35</v>
      </c>
      <c r="B20" s="25"/>
      <c r="C20" s="25"/>
      <c r="D20" s="25"/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9" t="s">
        <v>3</v>
      </c>
      <c r="B21" s="10" t="s">
        <v>4</v>
      </c>
      <c r="C21" s="10" t="s">
        <v>5</v>
      </c>
      <c r="D21" s="10" t="s">
        <v>6</v>
      </c>
      <c r="F21" s="17" t="s">
        <v>126</v>
      </c>
      <c r="G21" s="18" t="s">
        <v>127</v>
      </c>
      <c r="H21" s="19" t="s">
        <v>10</v>
      </c>
      <c r="I21" s="3">
        <v>1</v>
      </c>
    </row>
    <row r="22" spans="1:9" x14ac:dyDescent="0.25">
      <c r="A22" s="11" t="s">
        <v>197</v>
      </c>
      <c r="B22" s="12" t="s">
        <v>198</v>
      </c>
      <c r="C22" s="28" t="s">
        <v>10</v>
      </c>
      <c r="D22" s="1">
        <v>0</v>
      </c>
      <c r="F22" s="8"/>
      <c r="G22" s="8"/>
      <c r="H22" s="8"/>
      <c r="I22" s="8"/>
    </row>
    <row r="23" spans="1:9" ht="15.75" thickBot="1" x14ac:dyDescent="0.3">
      <c r="A23" s="11" t="s">
        <v>38</v>
      </c>
      <c r="B23" s="12" t="s">
        <v>39</v>
      </c>
      <c r="C23" s="28" t="s">
        <v>40</v>
      </c>
      <c r="D23" s="1">
        <v>1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113</v>
      </c>
      <c r="B24" s="12" t="s">
        <v>114</v>
      </c>
      <c r="C24" s="28" t="s">
        <v>112</v>
      </c>
      <c r="D24" s="1">
        <v>2.42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108</v>
      </c>
      <c r="B25" s="12" t="s">
        <v>107</v>
      </c>
      <c r="C25" s="28" t="s">
        <v>10</v>
      </c>
      <c r="D25" s="2" t="s">
        <v>194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1" t="s">
        <v>195</v>
      </c>
      <c r="B26" s="12" t="s">
        <v>196</v>
      </c>
      <c r="C26" s="28" t="s">
        <v>10</v>
      </c>
      <c r="D26" s="2" t="s">
        <v>228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42</v>
      </c>
      <c r="B27" s="15" t="s">
        <v>199</v>
      </c>
      <c r="C27" s="16" t="s">
        <v>10</v>
      </c>
      <c r="D27" s="2" t="s">
        <v>229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109</v>
      </c>
      <c r="B28" s="15" t="s">
        <v>110</v>
      </c>
      <c r="C28" s="16" t="s">
        <v>10</v>
      </c>
      <c r="D28" s="2" t="s">
        <v>193</v>
      </c>
      <c r="F28" s="17" t="s">
        <v>36</v>
      </c>
      <c r="G28" s="18" t="s">
        <v>37</v>
      </c>
      <c r="H28" s="19" t="s">
        <v>136</v>
      </c>
      <c r="I28" s="3">
        <v>1</v>
      </c>
    </row>
    <row r="29" spans="1:9" x14ac:dyDescent="0.25">
      <c r="A29" s="25"/>
      <c r="B29" s="25"/>
      <c r="C29" s="25"/>
      <c r="D29" s="25"/>
      <c r="F29" s="21"/>
      <c r="G29" s="21"/>
      <c r="H29" s="21"/>
      <c r="I29" s="21"/>
    </row>
    <row r="30" spans="1:9" ht="15.75" thickBot="1" x14ac:dyDescent="0.3">
      <c r="A30" s="34" t="s">
        <v>51</v>
      </c>
      <c r="B30" s="35"/>
      <c r="C30" s="35"/>
      <c r="D30" s="35"/>
      <c r="F30" s="26" t="s">
        <v>41</v>
      </c>
      <c r="G30" s="27"/>
      <c r="H30" s="27"/>
      <c r="I30" s="27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52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1" t="s">
        <v>53</v>
      </c>
      <c r="B32" s="12" t="s">
        <v>131</v>
      </c>
      <c r="C32" s="13" t="s">
        <v>136</v>
      </c>
      <c r="D32" s="1">
        <v>3.41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x14ac:dyDescent="0.25">
      <c r="A33" s="14" t="s">
        <v>54</v>
      </c>
      <c r="B33" s="15" t="s">
        <v>81</v>
      </c>
      <c r="C33" s="16" t="s">
        <v>136</v>
      </c>
      <c r="D33" s="2">
        <v>7.01</v>
      </c>
      <c r="F33" s="14" t="s">
        <v>117</v>
      </c>
      <c r="G33" s="15" t="s">
        <v>116</v>
      </c>
      <c r="H33" s="16" t="s">
        <v>10</v>
      </c>
      <c r="I33" s="2">
        <v>1</v>
      </c>
    </row>
    <row r="34" spans="1:9" x14ac:dyDescent="0.25">
      <c r="A34" s="14" t="s">
        <v>55</v>
      </c>
      <c r="B34" s="15" t="s">
        <v>132</v>
      </c>
      <c r="C34" s="16" t="s">
        <v>136</v>
      </c>
      <c r="D34" s="2">
        <v>-2.42</v>
      </c>
      <c r="F34" s="14" t="s">
        <v>207</v>
      </c>
      <c r="G34" s="15" t="s">
        <v>215</v>
      </c>
      <c r="H34" s="16" t="s">
        <v>10</v>
      </c>
      <c r="I34" s="2">
        <v>0</v>
      </c>
    </row>
    <row r="35" spans="1:9" x14ac:dyDescent="0.25">
      <c r="A35" s="14" t="s">
        <v>183</v>
      </c>
      <c r="B35" s="15" t="s">
        <v>133</v>
      </c>
      <c r="C35" s="16" t="s">
        <v>136</v>
      </c>
      <c r="D35" s="2">
        <v>-0.95799999999999996</v>
      </c>
      <c r="F35" s="14" t="s">
        <v>208</v>
      </c>
      <c r="G35" s="15" t="s">
        <v>216</v>
      </c>
      <c r="H35" s="16" t="s">
        <v>10</v>
      </c>
      <c r="I35" s="2">
        <v>0</v>
      </c>
    </row>
    <row r="36" spans="1:9" x14ac:dyDescent="0.25">
      <c r="A36" s="14" t="s">
        <v>56</v>
      </c>
      <c r="B36" s="15" t="s">
        <v>134</v>
      </c>
      <c r="C36" s="16" t="s">
        <v>10</v>
      </c>
      <c r="D36" s="2">
        <v>3</v>
      </c>
      <c r="F36" s="14" t="s">
        <v>209</v>
      </c>
      <c r="G36" s="15" t="s">
        <v>217</v>
      </c>
      <c r="H36" s="16" t="s">
        <v>10</v>
      </c>
      <c r="I36" s="2">
        <v>0</v>
      </c>
    </row>
    <row r="37" spans="1:9" x14ac:dyDescent="0.25">
      <c r="A37" s="14" t="s">
        <v>57</v>
      </c>
      <c r="B37" s="15" t="s">
        <v>135</v>
      </c>
      <c r="C37" s="16" t="s">
        <v>10</v>
      </c>
      <c r="D37" s="2">
        <v>1.5</v>
      </c>
      <c r="F37" s="14" t="s">
        <v>210</v>
      </c>
      <c r="G37" s="15" t="s">
        <v>218</v>
      </c>
      <c r="H37" s="16" t="s">
        <v>10</v>
      </c>
      <c r="I37" s="2">
        <v>1</v>
      </c>
    </row>
    <row r="38" spans="1:9" x14ac:dyDescent="0.25">
      <c r="A38" s="39" t="s">
        <v>85</v>
      </c>
      <c r="B38" s="39" t="s">
        <v>86</v>
      </c>
      <c r="C38" s="45" t="s">
        <v>141</v>
      </c>
      <c r="D38" s="46">
        <v>0</v>
      </c>
      <c r="F38" s="14" t="s">
        <v>211</v>
      </c>
      <c r="G38" s="15" t="s">
        <v>219</v>
      </c>
      <c r="H38" s="16" t="s">
        <v>10</v>
      </c>
      <c r="I38" s="2">
        <v>1</v>
      </c>
    </row>
    <row r="39" spans="1:9" x14ac:dyDescent="0.25">
      <c r="A39" s="14" t="s">
        <v>143</v>
      </c>
      <c r="B39" s="15" t="s">
        <v>142</v>
      </c>
      <c r="C39" s="16" t="s">
        <v>10</v>
      </c>
      <c r="D39" s="2">
        <v>0.4</v>
      </c>
      <c r="F39" s="14" t="s">
        <v>212</v>
      </c>
      <c r="G39" s="15" t="s">
        <v>220</v>
      </c>
      <c r="H39" s="16" t="s">
        <v>10</v>
      </c>
      <c r="I39" s="2">
        <v>0</v>
      </c>
    </row>
    <row r="40" spans="1:9" x14ac:dyDescent="0.25">
      <c r="A40" s="14" t="s">
        <v>87</v>
      </c>
      <c r="B40" s="14" t="s">
        <v>89</v>
      </c>
      <c r="C40" s="16" t="s">
        <v>136</v>
      </c>
      <c r="D40" s="2">
        <v>3.35</v>
      </c>
      <c r="F40" s="14" t="s">
        <v>213</v>
      </c>
      <c r="G40" s="15" t="s">
        <v>221</v>
      </c>
      <c r="H40" s="16" t="s">
        <v>10</v>
      </c>
      <c r="I40" s="2">
        <v>0</v>
      </c>
    </row>
    <row r="41" spans="1:9" ht="15.75" thickBot="1" x14ac:dyDescent="0.3">
      <c r="A41" s="38" t="s">
        <v>88</v>
      </c>
      <c r="B41" s="38" t="s">
        <v>130</v>
      </c>
      <c r="C41" s="43" t="s">
        <v>136</v>
      </c>
      <c r="D41" s="44">
        <v>0.06</v>
      </c>
      <c r="F41" s="17" t="s">
        <v>214</v>
      </c>
      <c r="G41" s="18" t="s">
        <v>222</v>
      </c>
      <c r="H41" s="19" t="s">
        <v>10</v>
      </c>
      <c r="I41" s="3">
        <v>0</v>
      </c>
    </row>
    <row r="42" spans="1:9" x14ac:dyDescent="0.25">
      <c r="A42" s="34"/>
      <c r="B42" s="34"/>
      <c r="C42" s="34"/>
      <c r="D42" s="34"/>
    </row>
    <row r="43" spans="1:9" ht="15.75" thickBot="1" x14ac:dyDescent="0.3">
      <c r="A43" s="36" t="s">
        <v>58</v>
      </c>
      <c r="B43" s="37"/>
      <c r="C43" s="37"/>
      <c r="D43" s="37"/>
    </row>
    <row r="44" spans="1:9" ht="15.75" thickBot="1" x14ac:dyDescent="0.3">
      <c r="A44" s="9" t="s">
        <v>3</v>
      </c>
      <c r="B44" s="10" t="s">
        <v>7</v>
      </c>
      <c r="C44" s="10" t="s">
        <v>5</v>
      </c>
      <c r="D44" s="10" t="s">
        <v>52</v>
      </c>
    </row>
    <row r="45" spans="1:9" x14ac:dyDescent="0.25">
      <c r="A45" s="11" t="s">
        <v>59</v>
      </c>
      <c r="B45" s="12" t="s">
        <v>60</v>
      </c>
      <c r="C45" s="13" t="s">
        <v>10</v>
      </c>
      <c r="D45" s="1">
        <v>1.65</v>
      </c>
    </row>
    <row r="46" spans="1:9" x14ac:dyDescent="0.25">
      <c r="A46" s="14" t="s">
        <v>61</v>
      </c>
      <c r="B46" s="15" t="s">
        <v>62</v>
      </c>
      <c r="C46" s="16" t="s">
        <v>137</v>
      </c>
      <c r="D46" s="2">
        <v>1134</v>
      </c>
    </row>
    <row r="47" spans="1:9" x14ac:dyDescent="0.25">
      <c r="A47" s="14" t="s">
        <v>63</v>
      </c>
      <c r="B47" s="15" t="s">
        <v>64</v>
      </c>
      <c r="C47" s="16" t="s">
        <v>137</v>
      </c>
      <c r="D47" s="2">
        <v>1134</v>
      </c>
    </row>
    <row r="48" spans="1:9" x14ac:dyDescent="0.25">
      <c r="A48" s="14" t="s">
        <v>65</v>
      </c>
      <c r="B48" s="15" t="s">
        <v>66</v>
      </c>
      <c r="C48" s="16" t="s">
        <v>138</v>
      </c>
      <c r="D48" s="2">
        <v>1027</v>
      </c>
    </row>
    <row r="49" spans="1:4" x14ac:dyDescent="0.25">
      <c r="A49" s="14" t="s">
        <v>67</v>
      </c>
      <c r="B49" s="15" t="s">
        <v>68</v>
      </c>
      <c r="C49" s="16" t="s">
        <v>69</v>
      </c>
      <c r="D49" s="2">
        <v>0.4</v>
      </c>
    </row>
    <row r="50" spans="1:4" x14ac:dyDescent="0.25">
      <c r="A50" s="14" t="s">
        <v>70</v>
      </c>
      <c r="B50" s="15" t="s">
        <v>71</v>
      </c>
      <c r="C50" s="16" t="s">
        <v>10</v>
      </c>
      <c r="D50" s="2">
        <v>1</v>
      </c>
    </row>
    <row r="51" spans="1:4" x14ac:dyDescent="0.25">
      <c r="A51" s="14" t="s">
        <v>72</v>
      </c>
      <c r="B51" s="15" t="s">
        <v>73</v>
      </c>
      <c r="C51" s="16" t="s">
        <v>10</v>
      </c>
      <c r="D51" s="2">
        <v>1</v>
      </c>
    </row>
    <row r="52" spans="1:4" x14ac:dyDescent="0.25">
      <c r="A52" s="14" t="s">
        <v>74</v>
      </c>
      <c r="B52" s="15" t="s">
        <v>75</v>
      </c>
      <c r="C52" s="16" t="s">
        <v>10</v>
      </c>
      <c r="D52" s="2">
        <v>1</v>
      </c>
    </row>
    <row r="53" spans="1:4" x14ac:dyDescent="0.25">
      <c r="A53" s="39" t="s">
        <v>76</v>
      </c>
      <c r="B53" s="40" t="s">
        <v>77</v>
      </c>
      <c r="C53" s="41" t="s">
        <v>10</v>
      </c>
      <c r="D53" s="42">
        <v>1</v>
      </c>
    </row>
    <row r="54" spans="1:4" ht="15.75" thickBot="1" x14ac:dyDescent="0.3">
      <c r="A54" s="18" t="s">
        <v>84</v>
      </c>
      <c r="B54" s="48" t="s">
        <v>90</v>
      </c>
      <c r="C54" s="19" t="s">
        <v>10</v>
      </c>
      <c r="D54" s="4">
        <v>2</v>
      </c>
    </row>
    <row r="55" spans="1:4" x14ac:dyDescent="0.25">
      <c r="A55" s="37"/>
      <c r="B55" s="37"/>
      <c r="C55" s="37"/>
      <c r="D55" s="37"/>
    </row>
    <row r="61" spans="1:4" x14ac:dyDescent="0.25">
      <c r="C61" s="64"/>
    </row>
    <row r="62" spans="1:4" ht="15.75" thickBot="1" x14ac:dyDescent="0.3">
      <c r="C62" s="63"/>
    </row>
    <row r="68" spans="2:2" x14ac:dyDescent="0.25">
      <c r="B68" s="47"/>
    </row>
  </sheetData>
  <sheetProtection formatColumns="0" selectLockedCells="1"/>
  <protectedRanges>
    <protectedRange sqref="I3:I6 I8 I12:I16 I25:I28 D15:D18 I32 D23 I19:I20 D3:D6 D8:D11 D13" name="Range1_1"/>
    <protectedRange sqref="D7 D14" name="Range1_1_1"/>
    <protectedRange sqref="D45:D54" name="Range1_1_4"/>
    <protectedRange sqref="D12 D28" name="Range1_1_2"/>
    <protectedRange sqref="D25" name="Range1_1_6_1"/>
    <protectedRange sqref="D22" name="Range1_1_6"/>
    <protectedRange sqref="D24" name="Range1_1_5"/>
    <protectedRange sqref="D26" name="Range1_1_5_1_1"/>
    <protectedRange sqref="D27" name="Range1_1_8_1_1"/>
    <protectedRange sqref="D39 D32:D37" name="Range1_1_3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185</v>
      </c>
      <c r="B1" t="s">
        <v>190</v>
      </c>
      <c r="C1" t="s">
        <v>144</v>
      </c>
      <c r="D1" t="s">
        <v>157</v>
      </c>
      <c r="E1" t="s">
        <v>78</v>
      </c>
    </row>
    <row r="3" spans="1:5" x14ac:dyDescent="0.25">
      <c r="A3" t="s">
        <v>184</v>
      </c>
      <c r="B3" t="s">
        <v>165</v>
      </c>
    </row>
    <row r="4" spans="1:5" x14ac:dyDescent="0.25">
      <c r="A4" s="50" t="s">
        <v>158</v>
      </c>
      <c r="B4" t="s">
        <v>166</v>
      </c>
      <c r="C4" t="s">
        <v>167</v>
      </c>
    </row>
    <row r="5" spans="1:5" x14ac:dyDescent="0.25">
      <c r="A5" s="50" t="s">
        <v>159</v>
      </c>
      <c r="B5" t="s">
        <v>172</v>
      </c>
      <c r="C5" t="s">
        <v>179</v>
      </c>
    </row>
    <row r="6" spans="1:5" x14ac:dyDescent="0.25">
      <c r="A6" s="50" t="s">
        <v>160</v>
      </c>
      <c r="B6" t="s">
        <v>173</v>
      </c>
      <c r="C6" t="s">
        <v>179</v>
      </c>
    </row>
    <row r="7" spans="1:5" x14ac:dyDescent="0.25">
      <c r="A7" s="50" t="s">
        <v>161</v>
      </c>
      <c r="B7" t="s">
        <v>174</v>
      </c>
      <c r="C7" t="s">
        <v>179</v>
      </c>
    </row>
    <row r="8" spans="1:5" x14ac:dyDescent="0.25">
      <c r="A8" s="50" t="s">
        <v>162</v>
      </c>
      <c r="B8" t="s">
        <v>178</v>
      </c>
      <c r="C8" t="s">
        <v>78</v>
      </c>
    </row>
    <row r="9" spans="1:5" x14ac:dyDescent="0.25">
      <c r="A9" s="50" t="s">
        <v>163</v>
      </c>
      <c r="B9" t="s">
        <v>175</v>
      </c>
      <c r="C9" t="s">
        <v>179</v>
      </c>
    </row>
    <row r="10" spans="1:5" x14ac:dyDescent="0.25">
      <c r="B10" t="s">
        <v>176</v>
      </c>
      <c r="C10" t="s">
        <v>179</v>
      </c>
    </row>
    <row r="11" spans="1:5" x14ac:dyDescent="0.25">
      <c r="B11" t="s">
        <v>177</v>
      </c>
      <c r="C11" t="s">
        <v>179</v>
      </c>
    </row>
    <row r="12" spans="1:5" x14ac:dyDescent="0.25">
      <c r="B12" t="s">
        <v>168</v>
      </c>
      <c r="C12" t="s">
        <v>169</v>
      </c>
    </row>
    <row r="13" spans="1:5" x14ac:dyDescent="0.25">
      <c r="B13" t="s">
        <v>170</v>
      </c>
      <c r="C13" t="s">
        <v>171</v>
      </c>
    </row>
    <row r="15" spans="1:5" ht="15.75" thickBot="1" x14ac:dyDescent="0.3"/>
    <row r="16" spans="1:5" ht="15.75" thickBot="1" x14ac:dyDescent="0.3">
      <c r="A16" s="54" t="s">
        <v>145</v>
      </c>
      <c r="B16" s="54" t="s">
        <v>4</v>
      </c>
      <c r="C16" s="54" t="s">
        <v>153</v>
      </c>
      <c r="D16" s="58" t="s">
        <v>156</v>
      </c>
    </row>
    <row r="17" spans="1:7" x14ac:dyDescent="0.25">
      <c r="A17" s="55">
        <v>0</v>
      </c>
      <c r="B17" s="55" t="s">
        <v>146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147</v>
      </c>
      <c r="C18" s="60">
        <v>128.0189</v>
      </c>
      <c r="D18" s="60">
        <f>C18/60</f>
        <v>2.1336483333333334</v>
      </c>
      <c r="E18" t="s">
        <v>155</v>
      </c>
    </row>
    <row r="19" spans="1:7" x14ac:dyDescent="0.25">
      <c r="A19" s="56">
        <f t="shared" ref="A19:A23" si="0">A18+1</f>
        <v>2</v>
      </c>
      <c r="B19" s="56" t="s">
        <v>148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182</v>
      </c>
    </row>
    <row r="24" spans="1:7" ht="15.75" thickBot="1" x14ac:dyDescent="0.3">
      <c r="A24" s="65" t="s">
        <v>154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181</v>
      </c>
    </row>
    <row r="28" spans="1:7" x14ac:dyDescent="0.25">
      <c r="E28" s="8"/>
      <c r="F28" t="s">
        <v>164</v>
      </c>
    </row>
    <row r="29" spans="1:7" x14ac:dyDescent="0.25">
      <c r="E29" s="51"/>
      <c r="F29" t="s">
        <v>180</v>
      </c>
    </row>
    <row r="31" spans="1:7" x14ac:dyDescent="0.25">
      <c r="A31" t="s">
        <v>185</v>
      </c>
      <c r="B31" t="s">
        <v>189</v>
      </c>
      <c r="C31" t="s">
        <v>191</v>
      </c>
      <c r="D31" t="s">
        <v>157</v>
      </c>
      <c r="E31" t="s">
        <v>78</v>
      </c>
    </row>
    <row r="33" spans="1:7" x14ac:dyDescent="0.25">
      <c r="A33" t="s">
        <v>184</v>
      </c>
      <c r="B33" t="s">
        <v>165</v>
      </c>
    </row>
    <row r="34" spans="1:7" x14ac:dyDescent="0.25">
      <c r="A34" s="50" t="s">
        <v>186</v>
      </c>
      <c r="B34" t="s">
        <v>166</v>
      </c>
      <c r="C34" t="s">
        <v>167</v>
      </c>
    </row>
    <row r="35" spans="1:7" x14ac:dyDescent="0.25">
      <c r="A35" s="50" t="s">
        <v>187</v>
      </c>
      <c r="B35" t="s">
        <v>172</v>
      </c>
      <c r="C35" t="s">
        <v>179</v>
      </c>
    </row>
    <row r="36" spans="1:7" x14ac:dyDescent="0.25">
      <c r="A36" s="50" t="s">
        <v>188</v>
      </c>
      <c r="B36" t="s">
        <v>173</v>
      </c>
      <c r="C36" t="s">
        <v>179</v>
      </c>
    </row>
    <row r="37" spans="1:7" x14ac:dyDescent="0.25">
      <c r="A37" s="50" t="s">
        <v>161</v>
      </c>
      <c r="B37" t="s">
        <v>174</v>
      </c>
      <c r="C37" t="s">
        <v>179</v>
      </c>
    </row>
    <row r="38" spans="1:7" x14ac:dyDescent="0.25">
      <c r="A38" s="50" t="s">
        <v>162</v>
      </c>
      <c r="B38" t="s">
        <v>178</v>
      </c>
      <c r="C38" t="s">
        <v>78</v>
      </c>
    </row>
    <row r="39" spans="1:7" x14ac:dyDescent="0.25">
      <c r="B39" t="s">
        <v>175</v>
      </c>
      <c r="C39" t="s">
        <v>179</v>
      </c>
    </row>
    <row r="40" spans="1:7" x14ac:dyDescent="0.25">
      <c r="B40" t="s">
        <v>176</v>
      </c>
      <c r="C40" t="s">
        <v>179</v>
      </c>
    </row>
    <row r="41" spans="1:7" x14ac:dyDescent="0.25">
      <c r="B41" t="s">
        <v>177</v>
      </c>
      <c r="C41" t="s">
        <v>179</v>
      </c>
    </row>
    <row r="42" spans="1:7" x14ac:dyDescent="0.25">
      <c r="B42" t="s">
        <v>168</v>
      </c>
      <c r="C42" t="s">
        <v>169</v>
      </c>
    </row>
    <row r="43" spans="1:7" x14ac:dyDescent="0.25">
      <c r="B43" t="s">
        <v>170</v>
      </c>
      <c r="C43" t="s">
        <v>171</v>
      </c>
    </row>
    <row r="45" spans="1:7" ht="15.75" thickBot="1" x14ac:dyDescent="0.3"/>
    <row r="46" spans="1:7" ht="15.75" thickBot="1" x14ac:dyDescent="0.3">
      <c r="A46" s="54" t="s">
        <v>145</v>
      </c>
      <c r="B46" s="54" t="s">
        <v>4</v>
      </c>
      <c r="C46" s="54" t="s">
        <v>153</v>
      </c>
      <c r="D46" s="58" t="s">
        <v>156</v>
      </c>
    </row>
    <row r="47" spans="1:7" x14ac:dyDescent="0.25">
      <c r="A47" s="55">
        <v>0</v>
      </c>
      <c r="B47" s="55" t="s">
        <v>146</v>
      </c>
      <c r="C47" s="59">
        <v>0.66720000000000002</v>
      </c>
      <c r="D47" s="62">
        <f>C47/60</f>
        <v>1.112E-2</v>
      </c>
      <c r="F47" t="s">
        <v>192</v>
      </c>
    </row>
    <row r="48" spans="1:7" x14ac:dyDescent="0.25">
      <c r="A48" s="56">
        <f>A47+1</f>
        <v>1</v>
      </c>
      <c r="B48" s="56" t="s">
        <v>147</v>
      </c>
      <c r="C48" s="60">
        <v>128.0189</v>
      </c>
      <c r="D48" s="60">
        <f>C48/60</f>
        <v>2.1336483333333334</v>
      </c>
      <c r="E48" t="s">
        <v>155</v>
      </c>
      <c r="F48" t="s">
        <v>153</v>
      </c>
      <c r="G48" t="s">
        <v>156</v>
      </c>
    </row>
    <row r="49" spans="1:7" x14ac:dyDescent="0.25">
      <c r="A49" s="56">
        <f t="shared" ref="A49:A53" si="2">A48+1</f>
        <v>2</v>
      </c>
      <c r="B49" s="56" t="s">
        <v>148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154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2023-09-27T15:44:08Z</dcterms:modified>
</cp:coreProperties>
</file>