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DD3679FF-7416-4848-B4B2-0669E6BBA02F}" xr6:coauthVersionLast="47" xr6:coauthVersionMax="47" xr10:uidLastSave="{00000000-0000-0000-0000-000000000000}"/>
  <bookViews>
    <workbookView xWindow="-120" yWindow="-120" windowWidth="38640" windowHeight="21120" activeTab="1" xr2:uid="{DCE98FF7-F0BD-48B7-BD15-98C25A65ECBE}"/>
  </bookViews>
  <sheets>
    <sheet name="Full_Inputs" sheetId="1" r:id="rId1"/>
    <sheet name="NAE_Structu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B12" i="2" s="1"/>
  <c r="D32" i="1" s="1"/>
  <c r="D36" i="1"/>
  <c r="D35" i="1"/>
  <c r="B11" i="2" l="1"/>
  <c r="D33" i="1" s="1"/>
  <c r="B13" i="2"/>
  <c r="D34" i="1" s="1"/>
</calcChain>
</file>

<file path=xl/sharedStrings.xml><?xml version="1.0" encoding="utf-8"?>
<sst xmlns="http://schemas.openxmlformats.org/spreadsheetml/2006/main" count="255" uniqueCount="169">
  <si>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</si>
  <si>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</si>
  <si>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</si>
  <si>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</si>
  <si>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</si>
  <si>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</si>
  <si>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</si>
  <si>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</si>
  <si>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</si>
  <si>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</si>
  <si>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</si>
  <si>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Midbay_v1</t>
  </si>
  <si>
    <t>mcs_nLC</t>
  </si>
  <si>
    <t>Number Of Life Cycles</t>
  </si>
  <si>
    <t>struc_id</t>
  </si>
  <si>
    <t>Structure/Trasnsect ID</t>
  </si>
  <si>
    <t>A-1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</si>
  <si>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</si>
  <si>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</si>
  <si>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</si>
  <si>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</si>
  <si>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</si>
  <si>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</si>
  <si>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</si>
  <si>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mcs_create_wlp</t>
  </si>
  <si>
    <t>Create Water Level Priority Peaks Dataset (WLP) (0/1)</t>
  </si>
  <si>
    <t>storm_sampling</t>
  </si>
  <si>
    <t>Storm sampling scheme to use for project. (XC,TC or CC)</t>
  </si>
  <si>
    <t>mcs_create_whp</t>
  </si>
  <si>
    <t>Create Wave Height Priority Peaks Dataset (WLP) (0/1)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</si>
  <si>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</si>
  <si>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</si>
  <si>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</si>
  <si>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</si>
  <si>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</si>
  <si>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</si>
  <si>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</si>
  <si>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[2 16 84 98]</t>
  </si>
  <si>
    <t>csr_apply_structure_repair</t>
  </si>
  <si>
    <t>Allow Structure Repair (0/1)</t>
  </si>
  <si>
    <t>csr_apply_cutoff_correction</t>
  </si>
  <si>
    <t>Apply Cutoff Correction (0/1)</t>
  </si>
  <si>
    <t>[m or ft]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</si>
  <si>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</si>
  <si>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</si>
  <si>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</si>
  <si>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</si>
  <si>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</si>
  <si>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</si>
  <si>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</si>
  <si>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</si>
  <si>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CHS Zip Folder (Relative Path)</t>
  </si>
  <si>
    <t>pros_compute_forcing_HC</t>
  </si>
  <si>
    <t>Compute Hazard for Waves and WL (1 - On, 2 - Off)</t>
  </si>
  <si>
    <t>chs_tc_swl_peaks</t>
  </si>
  <si>
    <t>ADCIRC TC Peaks</t>
  </si>
  <si>
    <t>Dn50 Uncertainty</t>
  </si>
  <si>
    <t>chs_tc_swl_timeseries</t>
  </si>
  <si>
    <t>ADCIRC TC Timeseries</t>
  </si>
  <si>
    <t>Overtopping Uncertainty</t>
  </si>
  <si>
    <t>[m^3/s/m or ft^3/s/ft]</t>
  </si>
  <si>
    <t>chs_tc_hm0_peaks</t>
  </si>
  <si>
    <t>STWAVE TC Peaks</t>
  </si>
  <si>
    <t>Runup Uncertainty</t>
  </si>
  <si>
    <t>chs_tc_hm0_timeseries</t>
  </si>
  <si>
    <t>STWAVE TC Timeseries</t>
  </si>
  <si>
    <t>Surface Pressure (p1) Uncertainty' (Floodwalls Only)</t>
  </si>
  <si>
    <t>[N/m^2 or lbf/ft^2]</t>
  </si>
  <si>
    <t>chs_xc_swl_peaks</t>
  </si>
  <si>
    <t>ADCIRC XC Peaks</t>
  </si>
  <si>
    <t>chs_xc_swl_timeseries</t>
  </si>
  <si>
    <t>ADCIRC XC Timeseries</t>
  </si>
  <si>
    <t>chs_xc_hm0_peaks</t>
  </si>
  <si>
    <t>STWAVE XC Peaks</t>
  </si>
  <si>
    <t>chs_xc_hm0_timeseries</t>
  </si>
  <si>
    <t>STWAVE XC Timeseries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</si>
  <si>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</si>
  <si>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</si>
  <si>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</si>
  <si>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</si>
  <si>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</si>
  <si>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</si>
  <si>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</si>
  <si>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Toe Bottom Elevation (Negative Below Datum Zero)</t>
  </si>
  <si>
    <t>seaside_slope</t>
  </si>
  <si>
    <t>Seaside Slope</t>
  </si>
  <si>
    <t>leeside_slope</t>
  </si>
  <si>
    <t>Leeside Slope</t>
  </si>
  <si>
    <t>Structure Properties</t>
  </si>
  <si>
    <t>armor_delta</t>
  </si>
  <si>
    <t>Armor Immersed Relative Density Delta</t>
  </si>
  <si>
    <t>seaside_mass</t>
  </si>
  <si>
    <t>Seaside Stone Mass</t>
  </si>
  <si>
    <t>[kg or lb]</t>
  </si>
  <si>
    <t>leeside_mass</t>
  </si>
  <si>
    <t>Leeside Stone Mass</t>
  </si>
  <si>
    <t>water_density</t>
  </si>
  <si>
    <t>Water Density</t>
  </si>
  <si>
    <t>[kg/m^3 or lb/ft^3]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</si>
  <si>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</si>
  <si>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</si>
  <si>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</si>
  <si>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</si>
  <si>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</si>
  <si>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</si>
  <si>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</si>
  <si>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</si>
  <si>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</si>
  <si>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</si>
  <si>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</si>
  <si>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</si>
  <si>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</si>
  <si>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Include CHS timeseries as part of the analysis. (0/1)</t>
  </si>
  <si>
    <t>cast_workflow</t>
  </si>
  <si>
    <t>Apply Depth Limitation To Waves (0/1)</t>
  </si>
  <si>
    <t xml:space="preserve">Crest Elevation/Wall Height 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</si>
  <si>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</si>
  <si>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</si>
  <si>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</si>
  <si>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</si>
  <si>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</si>
  <si>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</si>
  <si>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</si>
  <si>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</si>
  <si>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</si>
  <si>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Berm Elevation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</si>
  <si>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</si>
  <si>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</si>
  <si>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</si>
  <si>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</si>
  <si>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</si>
  <si>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</si>
  <si>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</si>
  <si>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</si>
  <si>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</si>
  <si>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</si>
  <si>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</si>
  <si>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</si>
  <si>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</si>
  <si>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</si>
  <si>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</si>
  <si>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</si>
  <si>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</si>
  <si>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</si>
  <si>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</si>
  <si>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StormSim workflow to call for project. (1 - StormSim:PROS, 2- StormSim:MCS, 3- StormSim: MCS/CSR, 4- StormSim: EVA (SST + JPM)</t>
  </si>
  <si>
    <t>tide_file</t>
  </si>
  <si>
    <t>Tidal file used to randomly sample tidal values for storm SWL.</t>
  </si>
  <si>
    <t>StormSim_Library\CHS\Bias_Correction_Files\NACCS_Comb_BiasUncertainty_perVG_rta.mat</t>
  </si>
  <si>
    <t>C:\Users\fagar\OneDrive\Desktop\StormSim-Dev\CO-OPS_88638660_NAVD88_m_Tidal_Pred_1_year.csv</t>
  </si>
  <si>
    <t>NAVD</t>
  </si>
  <si>
    <t xml:space="preserve">Given </t>
  </si>
  <si>
    <t xml:space="preserve">Structure Type </t>
  </si>
  <si>
    <t xml:space="preserve">Crest Width </t>
  </si>
  <si>
    <t>ft</t>
  </si>
  <si>
    <t>Crest Elevation</t>
  </si>
  <si>
    <t>ft, NAVD88</t>
  </si>
  <si>
    <t>Toe Elevation</t>
  </si>
  <si>
    <t>Side Slope</t>
  </si>
  <si>
    <t>Coverage (RipRap)</t>
  </si>
  <si>
    <t>NAVD88 to MSL</t>
  </si>
  <si>
    <t>Spatially Varying Uncertainty (+/-): 0.298 US_ft</t>
  </si>
  <si>
    <t>How shoud we account for this ?</t>
  </si>
  <si>
    <t xml:space="preserve">Convert Datums And Units </t>
  </si>
  <si>
    <t>m</t>
  </si>
  <si>
    <t>m, MSL</t>
  </si>
  <si>
    <t>CHSFileDownload_2023-02-23_11-31-35.zip</t>
  </si>
  <si>
    <t>chs_sp_depth</t>
  </si>
  <si>
    <t>CHS savepoint depth (Will be used if not found in h5)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</si>
</sst>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6"/>
  <sheetViews>
    <sheetView topLeftCell="B1" zoomScale="80" zoomScaleNormal="80" workbookViewId="0">
      <selection activeCell="I3" sqref="I3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76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11</v>
      </c>
      <c r="F3" s="49" t="s">
        <v>134</v>
      </c>
      <c r="G3" s="49" t="s">
        <v>127</v>
      </c>
      <c r="H3" s="13" t="s">
        <v>42</v>
      </c>
      <c r="I3" s="13">
        <v>0.33979999999999999</v>
      </c>
    </row>
    <row r="4" spans="1:9" x14ac:dyDescent="0.25">
      <c r="A4" s="14" t="s">
        <v>14</v>
      </c>
      <c r="B4" s="15" t="s">
        <v>15</v>
      </c>
      <c r="C4" s="16" t="s">
        <v>10</v>
      </c>
      <c r="D4" s="2" t="s">
        <v>16</v>
      </c>
      <c r="F4" s="49" t="s">
        <v>135</v>
      </c>
      <c r="G4" s="49" t="s">
        <v>128</v>
      </c>
      <c r="H4" s="13" t="s">
        <v>42</v>
      </c>
      <c r="I4" s="13">
        <v>0.38219999999999998</v>
      </c>
    </row>
    <row r="5" spans="1:9" x14ac:dyDescent="0.25">
      <c r="A5" s="14" t="s">
        <v>20</v>
      </c>
      <c r="B5" s="15" t="s">
        <v>21</v>
      </c>
      <c r="C5" s="16" t="s">
        <v>10</v>
      </c>
      <c r="D5" s="2">
        <v>1</v>
      </c>
      <c r="F5" s="49" t="s">
        <v>137</v>
      </c>
      <c r="G5" s="49" t="s">
        <v>129</v>
      </c>
      <c r="H5" s="13" t="s">
        <v>42</v>
      </c>
      <c r="I5" s="13">
        <v>0.3</v>
      </c>
    </row>
    <row r="6" spans="1:9" x14ac:dyDescent="0.25">
      <c r="A6" s="14" t="s">
        <v>22</v>
      </c>
      <c r="B6" s="15" t="s">
        <v>23</v>
      </c>
      <c r="C6" s="16" t="s">
        <v>10</v>
      </c>
      <c r="D6" s="2" t="s">
        <v>150</v>
      </c>
      <c r="F6" s="49" t="s">
        <v>136</v>
      </c>
      <c r="G6" s="49" t="s">
        <v>130</v>
      </c>
      <c r="H6" s="13" t="s">
        <v>42</v>
      </c>
      <c r="I6" s="13">
        <v>0.3</v>
      </c>
    </row>
    <row r="7" spans="1:9" x14ac:dyDescent="0.25">
      <c r="A7" s="14" t="s">
        <v>26</v>
      </c>
      <c r="B7" s="15" t="s">
        <v>27</v>
      </c>
      <c r="C7" s="16" t="s">
        <v>10</v>
      </c>
      <c r="D7" s="2" t="s">
        <v>110</v>
      </c>
      <c r="F7" s="14" t="s">
        <v>138</v>
      </c>
      <c r="G7" s="15" t="s">
        <v>132</v>
      </c>
      <c r="H7" s="16" t="s">
        <v>10</v>
      </c>
      <c r="I7" s="2">
        <v>0</v>
      </c>
    </row>
    <row r="8" spans="1:9" ht="15.75" thickBot="1" x14ac:dyDescent="0.3">
      <c r="A8" s="14" t="s">
        <v>30</v>
      </c>
      <c r="B8" s="15" t="s">
        <v>31</v>
      </c>
      <c r="C8" s="16" t="s">
        <v>10</v>
      </c>
      <c r="D8" s="2">
        <v>0</v>
      </c>
      <c r="F8" s="17" t="s">
        <v>133</v>
      </c>
      <c r="G8" s="18" t="s">
        <v>131</v>
      </c>
      <c r="H8" s="19" t="s">
        <v>77</v>
      </c>
      <c r="I8" s="3">
        <v>0</v>
      </c>
    </row>
    <row r="9" spans="1:9" x14ac:dyDescent="0.25">
      <c r="A9" s="14" t="s">
        <v>146</v>
      </c>
      <c r="B9" s="15" t="s">
        <v>147</v>
      </c>
      <c r="C9" s="16" t="s">
        <v>10</v>
      </c>
      <c r="D9" s="2" t="s">
        <v>149</v>
      </c>
      <c r="F9" s="33"/>
      <c r="G9" s="33"/>
      <c r="H9" s="33"/>
      <c r="I9" s="33"/>
    </row>
    <row r="10" spans="1:9" ht="15.75" thickBot="1" x14ac:dyDescent="0.3">
      <c r="A10" s="14" t="s">
        <v>140</v>
      </c>
      <c r="B10" s="15" t="s">
        <v>114</v>
      </c>
      <c r="C10" s="16" t="s">
        <v>10</v>
      </c>
      <c r="D10" s="2">
        <v>1</v>
      </c>
      <c r="F10" s="26" t="s">
        <v>139</v>
      </c>
      <c r="G10" s="27"/>
      <c r="H10" s="27"/>
      <c r="I10" s="27"/>
    </row>
    <row r="11" spans="1:9" ht="15.75" thickBot="1" x14ac:dyDescent="0.3">
      <c r="A11" s="14" t="s">
        <v>113</v>
      </c>
      <c r="B11" s="15" t="s">
        <v>145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ht="15.75" thickBot="1" x14ac:dyDescent="0.3">
      <c r="A12" s="17" t="s">
        <v>35</v>
      </c>
      <c r="B12" s="18" t="s">
        <v>36</v>
      </c>
      <c r="C12" s="19" t="s">
        <v>10</v>
      </c>
      <c r="D12" s="3" t="s">
        <v>37</v>
      </c>
      <c r="F12" s="30" t="s">
        <v>141</v>
      </c>
      <c r="G12" s="15" t="s">
        <v>56</v>
      </c>
      <c r="H12" s="16" t="s">
        <v>42</v>
      </c>
      <c r="I12" s="2">
        <v>0.5</v>
      </c>
    </row>
    <row r="13" spans="1:9" x14ac:dyDescent="0.25">
      <c r="A13" s="6"/>
      <c r="B13" s="22"/>
      <c r="C13" s="23"/>
      <c r="D13" s="23"/>
      <c r="F13" s="30" t="s">
        <v>142</v>
      </c>
      <c r="G13" s="15" t="s">
        <v>66</v>
      </c>
      <c r="H13" s="31" t="s">
        <v>67</v>
      </c>
      <c r="I13" s="2">
        <v>0.43</v>
      </c>
    </row>
    <row r="14" spans="1:9" ht="15.75" thickBot="1" x14ac:dyDescent="0.3">
      <c r="A14" s="24" t="s">
        <v>43</v>
      </c>
      <c r="B14" s="25"/>
      <c r="C14" s="25"/>
      <c r="D14" s="25"/>
      <c r="F14" s="14" t="s">
        <v>117</v>
      </c>
      <c r="G14" s="15" t="s">
        <v>59</v>
      </c>
      <c r="H14" s="16" t="s">
        <v>60</v>
      </c>
      <c r="I14" s="2">
        <v>0.78</v>
      </c>
    </row>
    <row r="15" spans="1:9" ht="15.75" thickBot="1" x14ac:dyDescent="0.3">
      <c r="A15" s="9" t="s">
        <v>3</v>
      </c>
      <c r="B15" s="10" t="s">
        <v>4</v>
      </c>
      <c r="C15" s="10" t="s">
        <v>5</v>
      </c>
      <c r="D15" s="10" t="s">
        <v>6</v>
      </c>
      <c r="F15" s="17" t="s">
        <v>118</v>
      </c>
      <c r="G15" s="18" t="s">
        <v>63</v>
      </c>
      <c r="H15" s="19" t="s">
        <v>42</v>
      </c>
      <c r="I15" s="3">
        <v>0.13</v>
      </c>
    </row>
    <row r="16" spans="1:9" x14ac:dyDescent="0.25">
      <c r="A16" s="14" t="s">
        <v>111</v>
      </c>
      <c r="B16" s="15" t="s">
        <v>112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1" t="s">
        <v>46</v>
      </c>
      <c r="B17" s="12" t="s">
        <v>47</v>
      </c>
      <c r="C17" s="28" t="s">
        <v>48</v>
      </c>
      <c r="D17" s="1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167</v>
      </c>
      <c r="B18" s="12" t="s">
        <v>168</v>
      </c>
      <c r="C18" s="28" t="s">
        <v>164</v>
      </c>
      <c r="D18" s="1">
        <v>5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144</v>
      </c>
      <c r="B19" s="12" t="s">
        <v>143</v>
      </c>
      <c r="C19" s="28" t="s">
        <v>10</v>
      </c>
      <c r="D19" s="2" t="s">
        <v>148</v>
      </c>
      <c r="F19" s="11" t="s">
        <v>12</v>
      </c>
      <c r="G19" s="12" t="s">
        <v>13</v>
      </c>
      <c r="H19" s="13" t="s">
        <v>10</v>
      </c>
      <c r="I19" s="1">
        <v>9</v>
      </c>
    </row>
    <row r="20" spans="1:9" x14ac:dyDescent="0.25">
      <c r="A20" s="14" t="s">
        <v>50</v>
      </c>
      <c r="B20" s="15" t="s">
        <v>51</v>
      </c>
      <c r="C20" s="16" t="s">
        <v>10</v>
      </c>
      <c r="D20" s="2" t="s">
        <v>166</v>
      </c>
      <c r="F20" s="14" t="s">
        <v>17</v>
      </c>
      <c r="G20" s="15" t="s">
        <v>18</v>
      </c>
      <c r="H20" s="16" t="s">
        <v>19</v>
      </c>
      <c r="I20" s="2">
        <v>50</v>
      </c>
    </row>
    <row r="21" spans="1:9" x14ac:dyDescent="0.25">
      <c r="A21" s="14" t="s">
        <v>54</v>
      </c>
      <c r="B21" s="15" t="s">
        <v>55</v>
      </c>
      <c r="C21" s="16" t="s">
        <v>10</v>
      </c>
      <c r="D21" s="2"/>
      <c r="F21" s="14" t="s">
        <v>24</v>
      </c>
      <c r="G21" s="15" t="s">
        <v>25</v>
      </c>
      <c r="H21" s="16" t="s">
        <v>10</v>
      </c>
      <c r="I21" s="2">
        <v>1</v>
      </c>
    </row>
    <row r="22" spans="1:9" ht="15.75" thickBot="1" x14ac:dyDescent="0.3">
      <c r="A22" s="14" t="s">
        <v>57</v>
      </c>
      <c r="B22" s="15" t="s">
        <v>58</v>
      </c>
      <c r="C22" s="16" t="s">
        <v>10</v>
      </c>
      <c r="D22" s="2"/>
      <c r="F22" s="17" t="s">
        <v>28</v>
      </c>
      <c r="G22" s="18" t="s">
        <v>29</v>
      </c>
      <c r="H22" s="19" t="s">
        <v>10</v>
      </c>
      <c r="I22" s="3">
        <v>1</v>
      </c>
    </row>
    <row r="23" spans="1:9" x14ac:dyDescent="0.25">
      <c r="A23" s="14" t="s">
        <v>61</v>
      </c>
      <c r="B23" s="15" t="s">
        <v>62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64</v>
      </c>
      <c r="B24" s="15" t="s">
        <v>65</v>
      </c>
      <c r="C24" s="16" t="s">
        <v>10</v>
      </c>
      <c r="D24" s="2"/>
      <c r="F24" s="20" t="s">
        <v>32</v>
      </c>
      <c r="G24" s="21"/>
      <c r="H24" s="21"/>
      <c r="I24" s="21"/>
    </row>
    <row r="25" spans="1:9" ht="15.75" thickBot="1" x14ac:dyDescent="0.3">
      <c r="A25" s="14" t="s">
        <v>68</v>
      </c>
      <c r="B25" s="15" t="s">
        <v>69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70</v>
      </c>
      <c r="B26" s="15" t="s">
        <v>71</v>
      </c>
      <c r="C26" s="16" t="s">
        <v>10</v>
      </c>
      <c r="D26" s="2"/>
      <c r="F26" s="11" t="s">
        <v>33</v>
      </c>
      <c r="G26" s="12" t="s">
        <v>34</v>
      </c>
      <c r="H26" s="13" t="s">
        <v>10</v>
      </c>
      <c r="I26" s="1">
        <v>1</v>
      </c>
    </row>
    <row r="27" spans="1:9" x14ac:dyDescent="0.25">
      <c r="A27" s="14" t="s">
        <v>72</v>
      </c>
      <c r="B27" s="15" t="s">
        <v>73</v>
      </c>
      <c r="C27" s="16" t="s">
        <v>10</v>
      </c>
      <c r="D27" s="2"/>
      <c r="F27" s="14" t="s">
        <v>38</v>
      </c>
      <c r="G27" s="15" t="s">
        <v>39</v>
      </c>
      <c r="H27" s="16" t="s">
        <v>10</v>
      </c>
      <c r="I27" s="2">
        <v>1</v>
      </c>
    </row>
    <row r="28" spans="1:9" ht="15.75" thickBot="1" x14ac:dyDescent="0.3">
      <c r="A28" s="17" t="s">
        <v>74</v>
      </c>
      <c r="B28" s="18" t="s">
        <v>75</v>
      </c>
      <c r="C28" s="19" t="s">
        <v>10</v>
      </c>
      <c r="D28" s="3"/>
      <c r="F28" s="14" t="s">
        <v>40</v>
      </c>
      <c r="G28" s="15" t="s">
        <v>41</v>
      </c>
      <c r="H28" s="16" t="s">
        <v>42</v>
      </c>
      <c r="I28" s="2">
        <v>0</v>
      </c>
    </row>
    <row r="29" spans="1:9" ht="15.75" thickBot="1" x14ac:dyDescent="0.3">
      <c r="A29" s="25"/>
      <c r="B29" s="25"/>
      <c r="C29" s="25"/>
      <c r="D29" s="25"/>
      <c r="F29" s="17" t="s">
        <v>44</v>
      </c>
      <c r="G29" s="18" t="s">
        <v>45</v>
      </c>
      <c r="H29" s="19" t="s">
        <v>42</v>
      </c>
      <c r="I29" s="3">
        <v>1</v>
      </c>
    </row>
    <row r="30" spans="1:9" ht="15.75" thickBot="1" x14ac:dyDescent="0.3">
      <c r="A30" s="34" t="s">
        <v>78</v>
      </c>
      <c r="B30" s="35"/>
      <c r="C30" s="35"/>
      <c r="D30" s="35"/>
      <c r="F30" s="21"/>
      <c r="G30" s="21"/>
      <c r="H30" s="21"/>
      <c r="I30" s="21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79</v>
      </c>
      <c r="F31" s="26" t="s">
        <v>49</v>
      </c>
      <c r="G31" s="27"/>
      <c r="H31" s="27"/>
      <c r="I31" s="27"/>
    </row>
    <row r="32" spans="1:9" ht="15.75" thickBot="1" x14ac:dyDescent="0.3">
      <c r="A32" s="11" t="s">
        <v>80</v>
      </c>
      <c r="B32" s="12" t="s">
        <v>115</v>
      </c>
      <c r="C32" s="13" t="s">
        <v>10</v>
      </c>
      <c r="D32" s="1">
        <f>NAE_Structure!B12</f>
        <v>4.9590959999999997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4" t="s">
        <v>81</v>
      </c>
      <c r="B33" s="15" t="s">
        <v>116</v>
      </c>
      <c r="C33" s="16" t="s">
        <v>10</v>
      </c>
      <c r="D33" s="2">
        <f>NAE_Structure!B11</f>
        <v>3.130296</v>
      </c>
      <c r="F33" s="29" t="s">
        <v>52</v>
      </c>
      <c r="G33" s="12" t="s">
        <v>53</v>
      </c>
      <c r="H33" s="13" t="s">
        <v>10</v>
      </c>
      <c r="I33" s="1">
        <v>1</v>
      </c>
    </row>
    <row r="34" spans="1:9" x14ac:dyDescent="0.25">
      <c r="A34" s="14" t="s">
        <v>82</v>
      </c>
      <c r="B34" s="15" t="s">
        <v>83</v>
      </c>
      <c r="C34" s="16" t="s">
        <v>42</v>
      </c>
      <c r="D34" s="2">
        <f>NAE_Structure!B13*-1</f>
        <v>-2.8254960000000002</v>
      </c>
    </row>
    <row r="35" spans="1:9" x14ac:dyDescent="0.25">
      <c r="A35" s="14" t="s">
        <v>84</v>
      </c>
      <c r="B35" s="15" t="s">
        <v>85</v>
      </c>
      <c r="C35" s="16" t="s">
        <v>10</v>
      </c>
      <c r="D35" s="2">
        <f>NAE_Structure!B6</f>
        <v>3</v>
      </c>
    </row>
    <row r="36" spans="1:9" x14ac:dyDescent="0.25">
      <c r="A36" s="14" t="s">
        <v>86</v>
      </c>
      <c r="B36" s="15" t="s">
        <v>87</v>
      </c>
      <c r="C36" s="16" t="s">
        <v>10</v>
      </c>
      <c r="D36" s="2">
        <f>NAE_Structure!B6</f>
        <v>3</v>
      </c>
    </row>
    <row r="37" spans="1:9" x14ac:dyDescent="0.25">
      <c r="A37" s="39" t="s">
        <v>120</v>
      </c>
      <c r="B37" s="39" t="s">
        <v>121</v>
      </c>
      <c r="C37" s="45" t="s">
        <v>10</v>
      </c>
      <c r="D37" s="46">
        <v>0</v>
      </c>
    </row>
    <row r="38" spans="1:9" x14ac:dyDescent="0.25">
      <c r="A38" s="14" t="s">
        <v>122</v>
      </c>
      <c r="B38" s="14" t="s">
        <v>124</v>
      </c>
      <c r="C38" s="16" t="s">
        <v>10</v>
      </c>
      <c r="D38" s="2">
        <v>0</v>
      </c>
    </row>
    <row r="39" spans="1:9" ht="15.75" thickBot="1" x14ac:dyDescent="0.3">
      <c r="A39" s="38" t="s">
        <v>123</v>
      </c>
      <c r="B39" s="38" t="s">
        <v>125</v>
      </c>
      <c r="C39" s="43" t="s">
        <v>10</v>
      </c>
      <c r="D39" s="44">
        <v>0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88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79</v>
      </c>
    </row>
    <row r="43" spans="1:9" x14ac:dyDescent="0.25">
      <c r="A43" s="11" t="s">
        <v>89</v>
      </c>
      <c r="B43" s="12" t="s">
        <v>90</v>
      </c>
      <c r="C43" s="13" t="s">
        <v>10</v>
      </c>
      <c r="D43" s="1">
        <v>1.65</v>
      </c>
    </row>
    <row r="44" spans="1:9" x14ac:dyDescent="0.25">
      <c r="A44" s="14" t="s">
        <v>91</v>
      </c>
      <c r="B44" s="15" t="s">
        <v>92</v>
      </c>
      <c r="C44" s="16" t="s">
        <v>93</v>
      </c>
      <c r="D44" s="2">
        <v>907.18</v>
      </c>
    </row>
    <row r="45" spans="1:9" x14ac:dyDescent="0.25">
      <c r="A45" s="14" t="s">
        <v>94</v>
      </c>
      <c r="B45" s="15" t="s">
        <v>95</v>
      </c>
      <c r="C45" s="16" t="s">
        <v>93</v>
      </c>
      <c r="D45" s="2">
        <v>907.18</v>
      </c>
    </row>
    <row r="46" spans="1:9" x14ac:dyDescent="0.25">
      <c r="A46" s="14" t="s">
        <v>96</v>
      </c>
      <c r="B46" s="15" t="s">
        <v>97</v>
      </c>
      <c r="C46" s="16" t="s">
        <v>98</v>
      </c>
      <c r="D46" s="2">
        <v>1027</v>
      </c>
    </row>
    <row r="47" spans="1:9" x14ac:dyDescent="0.25">
      <c r="A47" s="14" t="s">
        <v>99</v>
      </c>
      <c r="B47" s="15" t="s">
        <v>100</v>
      </c>
      <c r="C47" s="16" t="s">
        <v>101</v>
      </c>
      <c r="D47" s="2">
        <v>0.4</v>
      </c>
    </row>
    <row r="48" spans="1:9" x14ac:dyDescent="0.25">
      <c r="A48" s="14" t="s">
        <v>102</v>
      </c>
      <c r="B48" s="15" t="s">
        <v>103</v>
      </c>
      <c r="C48" s="16" t="s">
        <v>10</v>
      </c>
      <c r="D48" s="2">
        <v>20</v>
      </c>
    </row>
    <row r="49" spans="1:4" x14ac:dyDescent="0.25">
      <c r="A49" s="14" t="s">
        <v>104</v>
      </c>
      <c r="B49" s="15" t="s">
        <v>105</v>
      </c>
      <c r="C49" s="16" t="s">
        <v>10</v>
      </c>
      <c r="D49" s="2">
        <v>20</v>
      </c>
    </row>
    <row r="50" spans="1:4" x14ac:dyDescent="0.25">
      <c r="A50" s="14" t="s">
        <v>106</v>
      </c>
      <c r="B50" s="15" t="s">
        <v>107</v>
      </c>
      <c r="C50" s="16" t="s">
        <v>10</v>
      </c>
      <c r="D50" s="2">
        <v>5</v>
      </c>
    </row>
    <row r="51" spans="1:4" x14ac:dyDescent="0.25">
      <c r="A51" s="39" t="s">
        <v>108</v>
      </c>
      <c r="B51" s="40" t="s">
        <v>109</v>
      </c>
      <c r="C51" s="41" t="s">
        <v>10</v>
      </c>
      <c r="D51" s="42">
        <v>2</v>
      </c>
    </row>
    <row r="52" spans="1:4" ht="30.75" thickBot="1" x14ac:dyDescent="0.3">
      <c r="A52" s="18" t="s">
        <v>119</v>
      </c>
      <c r="B52" s="48" t="s">
        <v>126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66" spans="2:2" x14ac:dyDescent="0.25">
      <c r="B66" s="47"/>
    </row>
  </sheetData>
  <sheetProtection formatColumns="0" selectLockedCells="1"/>
  <protectedRanges>
    <protectedRange sqref="D32:D36 I3:I6 I8 D16:D28 I12:I16 I26:I29 I19:I22 D43:D52 I33 D3:D12" name="Range1_1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B9495-7AF2-49CC-975F-069DD3B5C2E2}">
  <dimension ref="A1:D13"/>
  <sheetViews>
    <sheetView tabSelected="1" workbookViewId="0">
      <selection activeCell="U24" sqref="U24"/>
    </sheetView>
  </sheetViews>
  <sheetFormatPr defaultRowHeight="15" x14ac:dyDescent="0.25"/>
  <cols>
    <col min="1" max="1" width="17.5703125" bestFit="1" customWidth="1"/>
    <col min="3" max="3" width="32.140625" bestFit="1" customWidth="1"/>
  </cols>
  <sheetData>
    <row r="1" spans="1:4" x14ac:dyDescent="0.25">
      <c r="A1" t="s">
        <v>151</v>
      </c>
    </row>
    <row r="2" spans="1:4" x14ac:dyDescent="0.25">
      <c r="A2" t="s">
        <v>152</v>
      </c>
      <c r="B2">
        <v>1</v>
      </c>
    </row>
    <row r="3" spans="1:4" x14ac:dyDescent="0.25">
      <c r="A3" t="s">
        <v>153</v>
      </c>
      <c r="B3">
        <v>10</v>
      </c>
      <c r="C3" t="s">
        <v>154</v>
      </c>
    </row>
    <row r="4" spans="1:4" x14ac:dyDescent="0.25">
      <c r="A4" t="s">
        <v>155</v>
      </c>
      <c r="B4">
        <v>16</v>
      </c>
      <c r="C4" t="s">
        <v>156</v>
      </c>
    </row>
    <row r="5" spans="1:4" x14ac:dyDescent="0.25">
      <c r="A5" t="s">
        <v>157</v>
      </c>
      <c r="B5">
        <v>9</v>
      </c>
      <c r="C5" t="s">
        <v>156</v>
      </c>
    </row>
    <row r="6" spans="1:4" x14ac:dyDescent="0.25">
      <c r="A6" t="s">
        <v>158</v>
      </c>
      <c r="B6">
        <v>3</v>
      </c>
    </row>
    <row r="7" spans="1:4" x14ac:dyDescent="0.25">
      <c r="A7" t="s">
        <v>159</v>
      </c>
      <c r="B7">
        <v>1</v>
      </c>
    </row>
    <row r="8" spans="1:4" ht="30" x14ac:dyDescent="0.25">
      <c r="A8" t="s">
        <v>160</v>
      </c>
      <c r="B8">
        <f>1.8-1.53</f>
        <v>0.27</v>
      </c>
      <c r="C8" s="50" t="s">
        <v>161</v>
      </c>
      <c r="D8" t="s">
        <v>162</v>
      </c>
    </row>
    <row r="10" spans="1:4" x14ac:dyDescent="0.25">
      <c r="A10" t="s">
        <v>163</v>
      </c>
    </row>
    <row r="11" spans="1:4" x14ac:dyDescent="0.25">
      <c r="A11" t="s">
        <v>153</v>
      </c>
      <c r="B11">
        <f>(B3+$B$8)*0.3048</f>
        <v>3.130296</v>
      </c>
      <c r="C11" t="s">
        <v>164</v>
      </c>
    </row>
    <row r="12" spans="1:4" x14ac:dyDescent="0.25">
      <c r="A12" t="s">
        <v>155</v>
      </c>
      <c r="B12">
        <f t="shared" ref="B12:B13" si="0">(B4+$B$8)*0.3048</f>
        <v>4.9590959999999997</v>
      </c>
      <c r="C12" t="s">
        <v>165</v>
      </c>
    </row>
    <row r="13" spans="1:4" x14ac:dyDescent="0.25">
      <c r="A13" t="s">
        <v>157</v>
      </c>
      <c r="B13">
        <f t="shared" si="0"/>
        <v>2.8254960000000002</v>
      </c>
      <c r="C13" t="s">
        <v>165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Full_Inputs</vt:lpstr>
      <vt:lpstr>NAE_Structure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2023-02-25T18:35:38Z</dcterms:modified>
</cp:coreProperties>
</file>